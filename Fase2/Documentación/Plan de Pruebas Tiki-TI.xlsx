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lan de prueba" sheetId="2" r:id="rId5"/>
    <sheet state="visible" name="Control" sheetId="3" r:id="rId6"/>
    <sheet state="visible" name="Datos" sheetId="4" r:id="rId7"/>
    <sheet state="hidden" name="Datos del plan" sheetId="5" r:id="rId8"/>
  </sheets>
  <definedNames>
    <definedName hidden="1" localSheetId="1" name="_xlnm._FilterDatabase">'Plan de prueba'!$E$1:$T$313</definedName>
  </definedNames>
  <calcPr/>
  <extLst>
    <ext uri="GoogleSheetsCustomDataVersion2">
      <go:sheetsCustomData xmlns:go="http://customooxmlschemas.google.com/" r:id="rId9" roundtripDataChecksum="MMjsBdnn48pdFRboWjqQvAx0OrRLeCGwjC4wnsPhK+c="/>
    </ext>
  </extLst>
</workbook>
</file>

<file path=xl/sharedStrings.xml><?xml version="1.0" encoding="utf-8"?>
<sst xmlns="http://schemas.openxmlformats.org/spreadsheetml/2006/main" count="385" uniqueCount="188">
  <si>
    <t xml:space="preserve">Plan de prueba software TIKI-TI </t>
  </si>
  <si>
    <r>
      <rPr>
        <rFont val="Calibri"/>
        <color theme="1"/>
        <sz val="11.0"/>
        <u/>
      </rPr>
      <t xml:space="preserve">Integrantes:
</t>
    </r>
    <r>
      <rPr>
        <rFont val="Calibri"/>
        <color theme="1"/>
        <sz val="11.0"/>
        <u/>
      </rPr>
      <t>Ivan Galleguillos, Dante Inostroza, Michel Lacourt</t>
    </r>
  </si>
  <si>
    <t xml:space="preserve"> </t>
  </si>
  <si>
    <t>ID</t>
  </si>
  <si>
    <t>Nombre de la prueba</t>
  </si>
  <si>
    <t>Resultado esperado</t>
  </si>
  <si>
    <t>Precondición</t>
  </si>
  <si>
    <t>Resultado obtenido</t>
  </si>
  <si>
    <t>Datos de prueba</t>
  </si>
  <si>
    <t>Modulo a probar</t>
  </si>
  <si>
    <t>Criterios de Aceptación</t>
  </si>
  <si>
    <t>Estrategia</t>
  </si>
  <si>
    <t>Resultado</t>
  </si>
  <si>
    <t>Candidato a automatizar</t>
  </si>
  <si>
    <t>Responsable ejecución</t>
  </si>
  <si>
    <t>MTC</t>
  </si>
  <si>
    <t>CDP_100</t>
  </si>
  <si>
    <t>Login fallido con credenciales incorrectas</t>
  </si>
  <si>
    <t>Funcional</t>
  </si>
  <si>
    <t>Se muestra mensaje de error claro ('Correo o contraseña incorrectos') y no se permite el acceso</t>
  </si>
  <si>
    <t>Ninguna</t>
  </si>
  <si>
    <t>Se deniega el acceso correctamente mostrando la alerta "Correo o contraseña incorrectos. Intenta de nuevo."</t>
  </si>
  <si>
    <t>Correo inválido o clave errónea</t>
  </si>
  <si>
    <t>Login</t>
  </si>
  <si>
    <t>1) No se inicia sesión.
2) El mensaje es claro y no revela si el usuario existe.
3) Los campos se mantienen.</t>
  </si>
  <si>
    <t>Caja Negra</t>
  </si>
  <si>
    <t>OK</t>
  </si>
  <si>
    <t>NO</t>
  </si>
  <si>
    <t>Ivan Galleguillos</t>
  </si>
  <si>
    <t>CDP_101</t>
  </si>
  <si>
    <t>Login con campos vacíos o incompletos</t>
  </si>
  <si>
    <t>El sistema detiene el flujo y advierte que faltan datos</t>
  </si>
  <si>
    <t>Se deniega el acceso con el mensaje genérico "Correo o contraseña incorrectos. Intenta de nuevo."(Nota: No se resalta qué campos están vacíos individualmente).</t>
  </si>
  <si>
    <t>Dejar correo o contraseña en blanco</t>
  </si>
  <si>
    <t>1) No se envía la petición de login.
2) Se indica que hay campos obligatorios.</t>
  </si>
  <si>
    <t>CDP_102</t>
  </si>
  <si>
    <t>Intento de inyección básica (SQL/Script) en UI</t>
  </si>
  <si>
    <t>No Funcional</t>
  </si>
  <si>
    <t>El sistema lo trata como texto plano, no ejecuta código y deniega el acceso</t>
  </si>
  <si>
    <t>Al evaluar la inyección SQL, el sistema procesó la entrada como texto plano sin generar errores de servidor (HTTP 500), denegando el acceso correctamente con la alerta: "Correo o contraseña incorrectos. Intenta de nuevo."</t>
  </si>
  <si>
    <t>Usuario: ' OR '1'='1                                           Usuario: ' OR '1'='1' --</t>
  </si>
  <si>
    <t>1) No se produce error 500 ni se rompe la web.
2) Muestra mensaje de credenciales inválidas.</t>
  </si>
  <si>
    <t>CDP_103</t>
  </si>
  <si>
    <t>Recarga de página web (Persistencia de sesión)</t>
  </si>
  <si>
    <t>UAT</t>
  </si>
  <si>
    <t>Al refrescar la página (F5) dentro de la misma sesión, el usuario permanece autenticado</t>
  </si>
  <si>
    <t>Usuario ya logueado</t>
  </si>
  <si>
    <t>Al actualizar la página con una sesión activa, el sistema pierde el estado de autenticación y redirige automáticamente al usuario al formulario de inicio de sesión, solicitando credenciales nuevamente.</t>
  </si>
  <si>
    <t>Credenciales válidas y Presionar F5 en el navegador</t>
  </si>
  <si>
    <t>Login/Dashboard</t>
  </si>
  <si>
    <t>1) No se solicita nuevamente usuario y contraseña.
2) La interfaz principal carga de inmediato.</t>
  </si>
  <si>
    <t>NOK</t>
  </si>
  <si>
    <t>CDP_104</t>
  </si>
  <si>
    <t>Visualización de datos del técnico y reloj</t>
  </si>
  <si>
    <t>Se muestra el nombre del técnico logueado y la hora oficial en la barra lateral</t>
  </si>
  <si>
    <t>Login Exitoso</t>
  </si>
  <si>
    <t>Tras realizar un inicio de sesión exitoso, el panel lateral muestra de forma clara el nombre del técnico autenticado y despliega visiblemente la hora oficial del sistema.</t>
  </si>
  <si>
    <t>Login normal</t>
  </si>
  <si>
    <t>Dashboard</t>
  </si>
  <si>
    <t>1) El técnico confirma visualmente que ingresó con su cuenta.
2) La hora del sistema es visible.</t>
  </si>
  <si>
    <t>CDP_105</t>
  </si>
  <si>
    <t>Cierre de sesión (Logout)</t>
  </si>
  <si>
    <t>La sesión se cierra correctamente, limpiando la pantalla y volviendo al formulario de acceso</t>
  </si>
  <si>
    <t>Usuario autenticado</t>
  </si>
  <si>
    <t>Al presionar el botón "Cerrar Sesión", el sistema finalizó la sesión activa correctamente, limpiando la interfaz de trabajo y redirigiendo al usuario al formulario de acceso de la página principal.</t>
  </si>
  <si>
    <t>Clic en botón 'Cerrar Sesión'</t>
  </si>
  <si>
    <t>1) Al presionar, se limpia la sesión.
2) Ya no se ven las opciones de subir tickets.</t>
  </si>
  <si>
    <t>CDP_106</t>
  </si>
  <si>
    <t>Alternancia dinámica de métodos de ingreso</t>
  </si>
  <si>
    <t>Al seleccionar el método de ingreso, la interfaz oculta/muestra la caja de texto o el botón de subida de imagen</t>
  </si>
  <si>
    <t>Usuario logueado</t>
  </si>
  <si>
    <t>Al alternar entre "Texto manual" y "Subir imagen", la interfaz responde de forma instantánea, ocultando y mostrando correctamente el campo de texto o el componente de carga de archivo sin presentar superposiciones ni fallos visuales.</t>
  </si>
  <si>
    <t>Clic en 'Texto manual' y luego en 'Subir imagen'</t>
  </si>
  <si>
    <t>Análisis IA</t>
  </si>
  <si>
    <t>1) La transición es instantánea.
2) No se superponen los elementos.</t>
  </si>
  <si>
    <t>CDP_107</t>
  </si>
  <si>
    <t>Validación de texto demasiado corto (&lt;25 caracteres)</t>
  </si>
  <si>
    <t>El sistema no procesa el ticket y muestra alerta de que el texto no es suficiente para clasificar</t>
  </si>
  <si>
    <t>Llenar Asunto y Método</t>
  </si>
  <si>
    <t>Al ingresar un texto menor a 25 caracteres ("hola") y presionar en procesar, el sistema detuvo el análisis con IA y desplegó la alerta: "El texto es demasiado corto para clasificarlo con seguridad."</t>
  </si>
  <si>
    <t>Escribir 'Hola' en texto manual</t>
  </si>
  <si>
    <t>1) No se consumen los modelos de IA.
2) Alerta clara en pantalla.</t>
  </si>
  <si>
    <t>Dante Inostroza</t>
  </si>
  <si>
    <t>CDP_108</t>
  </si>
  <si>
    <t>Bloqueo de procesamiento sin Asunto</t>
  </si>
  <si>
    <t>Aparece alerta indicando que se debe ingresar el Asunto y proveer el contenido</t>
  </si>
  <si>
    <t>Formulario incompleto</t>
  </si>
  <si>
    <t>Al dejar el campo "Asunto" en blanco e intentar procesar el ticket, el sistema bloqueó el envío y desplegó la alerta: "Debes ingresar un Asunto y proveer el contenido."</t>
  </si>
  <si>
    <t>Dejar 'Asunto' en blanco</t>
  </si>
  <si>
    <t>1) No se inicia el análisis.
2) Alerta visible en pantalla.</t>
  </si>
  <si>
    <t>CDP_109</t>
  </si>
  <si>
    <t>Procesamiento exitoso y despliegue de validación</t>
  </si>
  <si>
    <t>End to End</t>
  </si>
  <si>
    <t>La interfaz muestra las sugerencias de la IA en listas desplegables (Área y Prioridad) y los botones finales</t>
  </si>
  <si>
    <t>Asunto y contenido (texto o imagen) ingresado</t>
  </si>
  <si>
    <t>La IA clasificó correctamente el ticket, desplegando las sugerencias de área y prioridad, las listas desplegables y los botones de acción.</t>
  </si>
  <si>
    <t>Ticket de prueba</t>
  </si>
  <si>
    <t>1) Aparecen las listas desplegables.
2) Se muestran los botones Guardar y Cancelar.</t>
  </si>
  <si>
    <t>CDP_110</t>
  </si>
  <si>
    <t>Modificación de sugerencia IA (Human-in-the-Loop)</t>
  </si>
  <si>
    <t>El técnico puede interactuar con las listas desplegables y seleccionar opciones distintas a las sugeridas</t>
  </si>
  <si>
    <t>Ticket analizado en pantalla</t>
  </si>
  <si>
    <t>Los selectores desplegables funcionan correctamente y permiten cambiar las distintas suguerencias tanto en área cómo en prioridad.</t>
  </si>
  <si>
    <t>Cambiar prioridad de 'Media' a 'Alta'</t>
  </si>
  <si>
    <t>1) Los selectores responden sin errores.
2) Reflejan correctamente los catálogos del sistema.</t>
  </si>
  <si>
    <t>CDP_111</t>
  </si>
  <si>
    <t>Limpieza de interfaz (Borrar Todo)</t>
  </si>
  <si>
    <t>Todos los campos de texto, selectores y archivos cargados se eliminan, volviendo la interfaz a estado inicial</t>
  </si>
  <si>
    <t>Campos con información</t>
  </si>
  <si>
    <t>El botón funciona correctamente, borrando tanto el asunto como el texto/imagen</t>
  </si>
  <si>
    <t>Clic en 'Borrar Todo'</t>
  </si>
  <si>
    <t>1) Asunto vacío.
2) Texto/Imagen vacío.
3) Resultados de IA desaparecen.</t>
  </si>
  <si>
    <t>CDP_112</t>
  </si>
  <si>
    <t>Generación y descarga de reporte Excel</t>
  </si>
  <si>
    <t>Aparece botón en barra lateral y descarga un archivo .xlsx válido</t>
  </si>
  <si>
    <t>Al menos 1 ticket guardado en sesión</t>
  </si>
  <si>
    <t>El botón para descargar se muestra correctamente en la barra lateral y funciona correctamente, permitiendo descargar el archivo con su contenido correspondiente.</t>
  </si>
  <si>
    <t>Clic en 'Descargar Excel de Sesión'</t>
  </si>
  <si>
    <t>Exportación</t>
  </si>
  <si>
    <t>1) Se baja el archivo correctamente.
2) Contiene tickets de la sesión actual.</t>
  </si>
  <si>
    <t>CDP_113</t>
  </si>
  <si>
    <t>Subida de archivo con formato no soportado</t>
  </si>
  <si>
    <t>El widget de carga rechaza el archivo y no permite procesar el ticket</t>
  </si>
  <si>
    <t>Opción 'Subir imagen' seleccionada</t>
  </si>
  <si>
    <t>Al subir un archivo de tipo .txt, el sistema lo muestra en color rojo indicando el mensaje de "text/plain files are not allowed." Para el caso del .pdf, también lo muestra en este color e indica que: "application/pdf files are not allowed.", complementando también que si se intenta procesar de esta manera, el sistema genera la alerta correspondiente sobre que se debe proveer el contenido y no procede con el análisis.</t>
  </si>
  <si>
    <t>Arrastrar y soltar un archivo .pdf o .txt</t>
  </si>
  <si>
    <t>1) Streamlit indica error de formato o bloquea la subida visualmente.
2) No se ejecuta el OCR.</t>
  </si>
  <si>
    <t>CDP_114</t>
  </si>
  <si>
    <t>Procesamiento de imagen sin texto (ilegible)</t>
  </si>
  <si>
    <t>El sistema intenta leer la imagen pero al no encontrar texto, detiene el flujo con alerta de longitud mínima</t>
  </si>
  <si>
    <t>Imagen sin letras</t>
  </si>
  <si>
    <t>Al cargar una imagen sin ningún tipo de texto, el sistema arroja correctamente la alerta pertinente, en este caso, indica que: "El texto es demasiado corto para clasificarlo con seguridad."</t>
  </si>
  <si>
    <t>Subir imagen de un paisaje o color sólido</t>
  </si>
  <si>
    <t>1) El OCR termina sin caerse.
2) Alerta amarilla de texto corto (&lt;25 chars) visible.</t>
  </si>
  <si>
    <t>Michel Lacourt</t>
  </si>
  <si>
    <t>CDP_115</t>
  </si>
  <si>
    <t>Soporte para entrada de texto extremadamente largo</t>
  </si>
  <si>
    <t>El sistema procesa el texto correctamente sin arrojar errores de servidor ni congelar la interfaz permanentemente</t>
  </si>
  <si>
    <t>Opción 'Texto manual' seleccionada</t>
  </si>
  <si>
    <t>Al pegar un texto de gran tamaño (muchas más de 3.000 palabras), el sistema analiza y muestra sus suguerencias sin ningún tipo de error ni de demora ni congelamientos.</t>
  </si>
  <si>
    <t>Pegar un texto mayor a 3000 palabras en la caja</t>
  </si>
  <si>
    <t>1) El sistema analiza y muestra sugerencias.
2) No arroja error 500.</t>
  </si>
  <si>
    <t>CDP_116</t>
  </si>
  <si>
    <t>Independencia del selector de Organización</t>
  </si>
  <si>
    <t>Cambiar de cliente en el menú desplegable superior no reinicia ni borra los datos ingresados debajo</t>
  </si>
  <si>
    <t>Datos parciales en Asunto y Cuerpo</t>
  </si>
  <si>
    <t>Al cambiar de cliente tanto el asunto como la descripción (ya sea texto o imagen) quedan intactos y no se borra su contenido.</t>
  </si>
  <si>
    <t>Seleccionar un cliente distinto en el selectbox</t>
  </si>
  <si>
    <t>1) El Asunto permanece intacto.
2) El texto manual o la imagen cargada no se borran.</t>
  </si>
  <si>
    <t>CDP_117</t>
  </si>
  <si>
    <t>Cancelación descarta manipulación del usuario</t>
  </si>
  <si>
    <t>Al cambiar las opciones sugeridas por la IA y presionar Cancelar, se vuelve al estado inicial sin alterar historiales</t>
  </si>
  <si>
    <t>Ticket analizado, selectores modificados</t>
  </si>
  <si>
    <t>Al cancelar el análisis una vez hecho, este no se suma al contador, operando correctamente. Sin embargo, este botón no devuelve al sistema a su estado inicial, sino que queda con exactamente los mismos datos que se ingresaron antes de pedirle que hiciera el análisis (no borra nada).</t>
  </si>
  <si>
    <t>Modificar Área sugerida y prioridad, y luego,  pulsar 'Cancelar Análisis'</t>
  </si>
  <si>
    <t>1) Interfaz vuelve a estado inicial.
2) El contador de tickets en la barra lateral no se incrementa.</t>
  </si>
  <si>
    <t>CDP_118</t>
  </si>
  <si>
    <t>Comportamiento del Excel con múltiples registros</t>
  </si>
  <si>
    <t>El contador suma múltiples tickets y el Excel exportado incluye todas las filas correspondientes de la sesión</t>
  </si>
  <si>
    <t>2 tickets guardados consecutivamente</t>
  </si>
  <si>
    <t>El sistema muestra correctamente en la barra lateral, el mensaje "Tickets guardados en esta sesión: 2". El excel descargado también refleja estos 2 tickets de forma correcta.</t>
  </si>
  <si>
    <t>Guardar ticket 1. Guardar ticket 2. Clic en Descargar Excel.</t>
  </si>
  <si>
    <t>1) Contador muestra '2'.
2) Excel descargado incluye 2 filas de datos + los encabezados.</t>
  </si>
  <si>
    <t>CDP_119</t>
  </si>
  <si>
    <t>Manejo de inyección XSS en campo de Asunto</t>
  </si>
  <si>
    <t>El sistema interpreta los caracteres especiales como texto plano sin ejecutar alertas en el navegador</t>
  </si>
  <si>
    <t>Al escribir "&lt;script&gt;alert(1)&lt;/script&gt;" en el asunto, el sistema interpreta todo como texto plano y no ejecuta ninguna alerta en el navegador y este opera con normalidad.</t>
  </si>
  <si>
    <t>Escribir '&lt;script&gt;alert(1)&lt;/script&gt;' en el asunto</t>
  </si>
  <si>
    <t>1) No salta alerta pop-up web.
2) La interfaz continúa operando con normalidad.</t>
  </si>
  <si>
    <t>Casos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</si>
  <si>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</si>
  <si>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</si>
  <si>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</si>
  <si>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</si>
  <si>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</si>
  <si>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</si>
  <si>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Total Casos</t>
  </si>
  <si>
    <t>Caja Blanca</t>
  </si>
  <si>
    <t>Completar</t>
  </si>
  <si>
    <t>Hibrido</t>
  </si>
  <si>
    <t>Baja</t>
  </si>
  <si>
    <t>SI</t>
  </si>
  <si>
    <t>Media</t>
  </si>
  <si>
    <t>Alta</t>
  </si>
  <si>
    <t>Código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</si>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</sst>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u/>
      <sz val="11.0"/>
      <color theme="1"/>
      <name val="Calibri"/>
    </font>
    <font>
      <sz val="11.0"/>
      <color rgb="FF000000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5" fillId="2" fontId="1" numFmtId="0" xfId="0" applyBorder="1" applyFill="1" applyFont="1"/>
    <xf borderId="6" fillId="2" fontId="1" numFmtId="0" xfId="0" applyBorder="1" applyFill="1" applyFont="1"/>
    <xf borderId="7" fillId="2" fontId="2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7" fillId="2" fontId="4" numFmtId="0" xfId="0" applyAlignment="1" applyBorder="1" applyFill="1" applyFont="1">
      <alignment horizontal="left" shrinkToFit="0" vertical="top" wrapText="1"/>
    </xf>
    <xf borderId="15" fillId="2" fontId="1" numFmtId="0" xfId="0" applyBorder="1" applyFill="1" applyFont="1"/>
    <xf borderId="16" fillId="2" fontId="1" numFmtId="0" xfId="0" applyBorder="1" applyFill="1" applyFont="1"/>
    <xf borderId="17" fillId="2" fontId="1" numFmtId="0" xfId="0" applyBorder="1" applyFill="1" applyFont="1"/>
    <xf borderId="18" fillId="3" fontId="1" numFmtId="0" xfId="0" applyAlignment="1" applyBorder="1" applyFill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8" fillId="4" fontId="1" numFmtId="1" xfId="0" applyAlignment="1" applyBorder="1" applyFill="1" applyFont="1" applyNumberFormat="1">
      <alignment horizontal="center" shrinkToFit="0" vertical="center" wrapText="1"/>
    </xf>
    <xf borderId="18" fillId="4" fontId="1" numFmtId="0" xfId="0" applyAlignment="1" applyBorder="1" applyFill="1" applyFont="1">
      <alignment horizontal="center" shrinkToFit="0" vertical="center" wrapText="1"/>
    </xf>
    <xf borderId="18" fillId="4" fontId="1" numFmtId="0" xfId="0" applyAlignment="1" applyBorder="1" applyFill="1" applyFont="1">
      <alignment horizontal="center" readingOrder="0" shrinkToFit="0" vertical="center" wrapText="1"/>
    </xf>
    <xf borderId="18" fillId="4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8" fillId="4" fontId="1" numFmtId="0" xfId="0" applyAlignment="1" applyBorder="1" applyFill="1" applyFont="1">
      <alignment shrinkToFit="0" vertical="center" wrapText="1"/>
    </xf>
    <xf borderId="18" fillId="4" fontId="5" numFmtId="0" xfId="0" applyAlignment="1" applyBorder="1" applyFill="1" applyFont="1">
      <alignment shrinkToFit="0" wrapText="1"/>
    </xf>
    <xf borderId="20" fillId="4" fontId="5" numFmtId="0" xfId="0" applyAlignment="1" applyBorder="1" applyFill="1" applyFont="1">
      <alignment shrinkToFit="0" wrapText="1"/>
    </xf>
    <xf borderId="18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/>
    </xf>
    <xf borderId="1" fillId="2" fontId="6" numFmtId="0" xfId="0" applyBorder="1" applyFill="1" applyFont="1"/>
    <xf borderId="21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vertical="center"/>
    </xf>
    <xf borderId="18" fillId="2" fontId="1" numFmtId="0" xfId="0" applyAlignment="1" applyBorder="1" applyFill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1" fillId="2" fontId="1" numFmtId="0" xfId="0" applyAlignment="1" applyBorder="1" applyFill="1" applyFont="1">
      <alignment vertical="center"/>
    </xf>
    <xf borderId="24" fillId="2" fontId="1" numFmtId="0" xfId="0" applyAlignment="1" applyBorder="1" applyFill="1" applyFont="1">
      <alignment vertical="center"/>
    </xf>
    <xf borderId="25" fillId="0" fontId="3" numFmtId="0" xfId="0" applyBorder="1" applyFont="1"/>
    <xf borderId="1" fillId="2" fontId="7" numFmtId="0" xfId="0" applyAlignment="1" applyBorder="1" applyFill="1" applyFont="1">
      <alignment horizontal="center"/>
    </xf>
    <xf borderId="26" fillId="2" fontId="1" numFmtId="0" xfId="0" applyAlignment="1" applyBorder="1" applyFill="1" applyFont="1">
      <alignment vertical="center"/>
    </xf>
    <xf borderId="27" fillId="0" fontId="3" numFmtId="0" xfId="0" applyBorder="1" applyFont="1"/>
    <xf borderId="18" fillId="2" fontId="7" numFmtId="0" xfId="0" applyAlignment="1" applyBorder="1" applyFill="1" applyFont="1">
      <alignment horizontal="center"/>
    </xf>
    <xf borderId="28" fillId="2" fontId="8" numFmtId="164" xfId="0" applyAlignment="1" applyBorder="1" applyFill="1" applyFont="1" applyNumberFormat="1">
      <alignment horizontal="center" vertical="center"/>
    </xf>
    <xf borderId="29" fillId="0" fontId="3" numFmtId="0" xfId="0" applyBorder="1" applyFont="1"/>
    <xf borderId="21" fillId="2" fontId="8" numFmtId="9" xfId="0" applyAlignment="1" applyBorder="1" applyFill="1" applyFont="1" applyNumberForma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28" fillId="2" fontId="1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26" fillId="2" fontId="1" numFmtId="0" xfId="0" applyBorder="1" applyFill="1" applyFont="1"/>
    <xf borderId="33" fillId="0" fontId="3" numFmtId="0" xfId="0" applyBorder="1" applyFont="1"/>
    <xf borderId="34" fillId="0" fontId="3" numFmtId="0" xfId="0" applyBorder="1" applyFont="1"/>
    <xf borderId="18" fillId="2" fontId="1" numFmtId="0" xfId="0" applyBorder="1" applyFill="1" applyFont="1"/>
    <xf borderId="24" fillId="2" fontId="1" numFmtId="0" xfId="0" applyAlignment="1" applyBorder="1" applyFill="1" applyFont="1">
      <alignment horizontal="center"/>
    </xf>
    <xf borderId="35" fillId="0" fontId="3" numFmtId="0" xfId="0" applyBorder="1" applyFont="1"/>
    <xf borderId="18" fillId="2" fontId="1" numFmtId="0" xfId="0" applyAlignment="1" applyBorder="1" applyFill="1" applyFont="1">
      <alignment horizontal="center"/>
    </xf>
    <xf borderId="1" fillId="2" fontId="9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584035232"/>
        <c:axId val="1204099281"/>
      </c:barChart>
      <c:catAx>
        <c:axId val="584035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4099281"/>
      </c:catAx>
      <c:valAx>
        <c:axId val="1204099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403523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1090897151"/>
        <c:axId val="1266193515"/>
      </c:barChart>
      <c:catAx>
        <c:axId val="109089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6193515"/>
      </c:catAx>
      <c:valAx>
        <c:axId val="1266193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0897151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4314825" cy="2324100"/>
    <xdr:graphicFrame>
      <xdr:nvGraphicFramePr>
        <xdr:cNvPr id="14408075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4429125" cy="2114550"/>
    <xdr:graphicFrame>
      <xdr:nvGraphicFramePr>
        <xdr:cNvPr id="119626400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9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5"/>
      <c r="D7" s="1"/>
      <c r="E7" s="10"/>
      <c r="I7" s="11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5"/>
      <c r="D8" s="1"/>
      <c r="E8" s="10"/>
      <c r="I8" s="11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5"/>
      <c r="D9" s="1"/>
      <c r="E9" s="10"/>
      <c r="I9" s="11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5"/>
      <c r="D10" s="1"/>
      <c r="E10" s="12"/>
      <c r="F10" s="13"/>
      <c r="G10" s="13"/>
      <c r="H10" s="13"/>
      <c r="I10" s="14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5"/>
      <c r="C35" s="5"/>
      <c r="D35" s="1"/>
      <c r="E35" s="15" t="s">
        <v>1</v>
      </c>
      <c r="F35" s="8"/>
      <c r="G35" s="8"/>
      <c r="H35" s="8"/>
      <c r="I35" s="9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5"/>
      <c r="C36" s="5"/>
      <c r="D36" s="1"/>
      <c r="E36" s="10"/>
      <c r="I36" s="11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5"/>
      <c r="C37" s="5"/>
      <c r="D37" s="1"/>
      <c r="E37" s="10"/>
      <c r="I37" s="11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"/>
      <c r="C38" s="5"/>
      <c r="D38" s="1"/>
      <c r="E38" s="10"/>
      <c r="I38" s="11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5"/>
      <c r="C39" s="5"/>
      <c r="D39" s="1"/>
      <c r="E39" s="12"/>
      <c r="F39" s="13"/>
      <c r="G39" s="13"/>
      <c r="H39" s="13"/>
      <c r="I39" s="14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"/>
      <c r="C43" s="16"/>
      <c r="D43" s="17"/>
      <c r="E43" s="17"/>
      <c r="F43" s="17"/>
      <c r="G43" s="17"/>
      <c r="H43" s="17"/>
      <c r="I43" s="17"/>
      <c r="J43" s="17"/>
      <c r="K43" s="18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4" width="14.43"/>
    <col customWidth="1" hidden="1" min="5" max="5" width="5.57"/>
    <col customWidth="1" hidden="1" min="6" max="6" width="4.0"/>
    <col customWidth="1" min="7" max="7" width="9.86"/>
    <col customWidth="1" min="8" max="8" width="35.43"/>
    <col customWidth="1" min="9" max="9" width="18.0"/>
    <col customWidth="1" min="10" max="10" width="27.86"/>
    <col customWidth="1" min="11" max="11" width="22.43"/>
    <col customWidth="1" min="12" max="12" width="31.43"/>
    <col customWidth="1" min="13" max="13" width="35.0"/>
    <col customWidth="1" min="14" max="14" width="15.57"/>
    <col customWidth="1" min="15" max="15" width="33.57"/>
    <col customWidth="1" min="16" max="16" width="19.14"/>
    <col customWidth="1" min="17" max="17" width="19.0"/>
    <col customWidth="1" min="18" max="18" width="22.71"/>
    <col customWidth="1" min="19" max="19" width="20.57"/>
  </cols>
  <sheetData>
    <row r="1" ht="14.25" customHeight="1">
      <c r="E1" s="19" t="s">
        <v>2</v>
      </c>
      <c r="F1" s="19"/>
      <c r="G1" s="19" t="s">
        <v>3</v>
      </c>
      <c r="H1" s="19" t="s">
        <v>4</v>
      </c>
      <c r="I1" s="19"/>
      <c r="J1" s="19" t="s">
        <v>5</v>
      </c>
      <c r="K1" s="20" t="s">
        <v>6</v>
      </c>
      <c r="L1" s="19" t="s">
        <v>7</v>
      </c>
      <c r="M1" s="19" t="s">
        <v>8</v>
      </c>
      <c r="N1" s="19" t="s">
        <v>9</v>
      </c>
      <c r="O1" s="20" t="s">
        <v>10</v>
      </c>
      <c r="P1" s="20" t="s">
        <v>11</v>
      </c>
      <c r="Q1" s="19" t="s">
        <v>12</v>
      </c>
      <c r="R1" s="20" t="s">
        <v>13</v>
      </c>
      <c r="S1" s="21" t="s">
        <v>14</v>
      </c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E2" s="23" t="s">
        <v>15</v>
      </c>
      <c r="F2" s="23">
        <v>10.0</v>
      </c>
      <c r="G2" s="23" t="s">
        <v>16</v>
      </c>
      <c r="H2" s="24" t="s">
        <v>17</v>
      </c>
      <c r="I2" s="24" t="s">
        <v>18</v>
      </c>
      <c r="J2" s="24" t="s">
        <v>19</v>
      </c>
      <c r="K2" s="24" t="s">
        <v>20</v>
      </c>
      <c r="L2" s="25" t="s">
        <v>21</v>
      </c>
      <c r="M2" s="24" t="s">
        <v>22</v>
      </c>
      <c r="N2" s="24" t="s">
        <v>23</v>
      </c>
      <c r="O2" s="26" t="s">
        <v>24</v>
      </c>
      <c r="P2" s="24" t="s">
        <v>25</v>
      </c>
      <c r="Q2" s="25" t="s">
        <v>26</v>
      </c>
      <c r="R2" s="24" t="s">
        <v>27</v>
      </c>
      <c r="S2" s="24" t="s">
        <v>28</v>
      </c>
      <c r="T2" s="22"/>
      <c r="U2" s="27"/>
      <c r="V2" s="27"/>
      <c r="W2" s="27"/>
      <c r="X2" s="27"/>
      <c r="Y2" s="27"/>
      <c r="Z2" s="27"/>
      <c r="AA2" s="27"/>
      <c r="AB2" s="27"/>
      <c r="AC2" s="27"/>
    </row>
    <row r="3">
      <c r="E3" s="23" t="s">
        <v>15</v>
      </c>
      <c r="F3" s="23">
        <v>20.0</v>
      </c>
      <c r="G3" s="23" t="s">
        <v>29</v>
      </c>
      <c r="H3" s="24" t="s">
        <v>30</v>
      </c>
      <c r="I3" s="24" t="s">
        <v>18</v>
      </c>
      <c r="J3" s="24" t="s">
        <v>31</v>
      </c>
      <c r="K3" s="24" t="s">
        <v>20</v>
      </c>
      <c r="L3" s="25" t="s">
        <v>32</v>
      </c>
      <c r="M3" s="24" t="s">
        <v>33</v>
      </c>
      <c r="N3" s="24" t="s">
        <v>23</v>
      </c>
      <c r="O3" s="26" t="s">
        <v>34</v>
      </c>
      <c r="P3" s="24" t="s">
        <v>25</v>
      </c>
      <c r="Q3" s="25" t="s">
        <v>26</v>
      </c>
      <c r="R3" s="24" t="s">
        <v>27</v>
      </c>
      <c r="S3" s="24" t="s">
        <v>28</v>
      </c>
      <c r="T3" s="22"/>
      <c r="U3" s="27"/>
      <c r="V3" s="27"/>
      <c r="W3" s="27"/>
      <c r="X3" s="27"/>
      <c r="Y3" s="27"/>
      <c r="Z3" s="27"/>
      <c r="AA3" s="27"/>
      <c r="AB3" s="27"/>
      <c r="AC3" s="27"/>
    </row>
    <row r="4">
      <c r="E4" s="23" t="s">
        <v>15</v>
      </c>
      <c r="F4" s="23">
        <v>30.0</v>
      </c>
      <c r="G4" s="23" t="s">
        <v>35</v>
      </c>
      <c r="H4" s="24" t="s">
        <v>36</v>
      </c>
      <c r="I4" s="24" t="s">
        <v>37</v>
      </c>
      <c r="J4" s="24" t="s">
        <v>38</v>
      </c>
      <c r="K4" s="24" t="s">
        <v>20</v>
      </c>
      <c r="L4" s="25" t="s">
        <v>39</v>
      </c>
      <c r="M4" s="25" t="s">
        <v>40</v>
      </c>
      <c r="N4" s="24" t="s">
        <v>23</v>
      </c>
      <c r="O4" s="26" t="s">
        <v>41</v>
      </c>
      <c r="P4" s="24" t="s">
        <v>25</v>
      </c>
      <c r="Q4" s="25" t="s">
        <v>26</v>
      </c>
      <c r="R4" s="24" t="s">
        <v>27</v>
      </c>
      <c r="S4" s="24" t="s">
        <v>28</v>
      </c>
      <c r="T4" s="22"/>
      <c r="U4" s="27"/>
      <c r="V4" s="27"/>
      <c r="W4" s="27"/>
      <c r="X4" s="27"/>
      <c r="Y4" s="27"/>
      <c r="Z4" s="27"/>
      <c r="AA4" s="27"/>
      <c r="AB4" s="27"/>
      <c r="AC4" s="27"/>
    </row>
    <row r="5">
      <c r="E5" s="23" t="s">
        <v>15</v>
      </c>
      <c r="F5" s="23">
        <v>40.0</v>
      </c>
      <c r="G5" s="23" t="s">
        <v>42</v>
      </c>
      <c r="H5" s="24" t="s">
        <v>43</v>
      </c>
      <c r="I5" s="24" t="s">
        <v>44</v>
      </c>
      <c r="J5" s="24" t="s">
        <v>45</v>
      </c>
      <c r="K5" s="24" t="s">
        <v>46</v>
      </c>
      <c r="L5" s="25" t="s">
        <v>47</v>
      </c>
      <c r="M5" s="24" t="s">
        <v>48</v>
      </c>
      <c r="N5" s="24" t="s">
        <v>49</v>
      </c>
      <c r="O5" s="26" t="s">
        <v>50</v>
      </c>
      <c r="P5" s="24" t="s">
        <v>25</v>
      </c>
      <c r="Q5" s="25" t="s">
        <v>51</v>
      </c>
      <c r="R5" s="24" t="s">
        <v>27</v>
      </c>
      <c r="S5" s="24" t="s">
        <v>28</v>
      </c>
      <c r="T5" s="22"/>
      <c r="U5" s="27"/>
      <c r="V5" s="27"/>
      <c r="W5" s="27"/>
      <c r="X5" s="27"/>
      <c r="Y5" s="27"/>
      <c r="Z5" s="27"/>
      <c r="AA5" s="27"/>
      <c r="AB5" s="27"/>
      <c r="AC5" s="27"/>
    </row>
    <row r="6">
      <c r="E6" s="23" t="s">
        <v>15</v>
      </c>
      <c r="F6" s="23">
        <v>50.0</v>
      </c>
      <c r="G6" s="23" t="s">
        <v>52</v>
      </c>
      <c r="H6" s="24" t="s">
        <v>53</v>
      </c>
      <c r="I6" s="24" t="s">
        <v>44</v>
      </c>
      <c r="J6" s="24" t="s">
        <v>54</v>
      </c>
      <c r="K6" s="24" t="s">
        <v>55</v>
      </c>
      <c r="L6" s="25" t="s">
        <v>56</v>
      </c>
      <c r="M6" s="24" t="s">
        <v>57</v>
      </c>
      <c r="N6" s="24" t="s">
        <v>58</v>
      </c>
      <c r="O6" s="26" t="s">
        <v>59</v>
      </c>
      <c r="P6" s="24" t="s">
        <v>25</v>
      </c>
      <c r="Q6" s="25" t="s">
        <v>26</v>
      </c>
      <c r="R6" s="24" t="s">
        <v>27</v>
      </c>
      <c r="S6" s="24" t="s">
        <v>28</v>
      </c>
      <c r="T6" s="22"/>
      <c r="U6" s="27"/>
      <c r="V6" s="27"/>
      <c r="W6" s="27"/>
      <c r="X6" s="27"/>
      <c r="Y6" s="27"/>
      <c r="Z6" s="27"/>
      <c r="AA6" s="27"/>
      <c r="AB6" s="27"/>
      <c r="AC6" s="27"/>
    </row>
    <row r="7">
      <c r="E7" s="23" t="s">
        <v>15</v>
      </c>
      <c r="F7" s="23">
        <v>60.0</v>
      </c>
      <c r="G7" s="23" t="s">
        <v>60</v>
      </c>
      <c r="H7" s="24" t="s">
        <v>61</v>
      </c>
      <c r="I7" s="24" t="s">
        <v>18</v>
      </c>
      <c r="J7" s="24" t="s">
        <v>62</v>
      </c>
      <c r="K7" s="24" t="s">
        <v>63</v>
      </c>
      <c r="L7" s="25" t="s">
        <v>64</v>
      </c>
      <c r="M7" s="24" t="s">
        <v>65</v>
      </c>
      <c r="N7" s="24" t="s">
        <v>23</v>
      </c>
      <c r="O7" s="26" t="s">
        <v>66</v>
      </c>
      <c r="P7" s="25" t="s">
        <v>25</v>
      </c>
      <c r="Q7" s="25" t="s">
        <v>26</v>
      </c>
      <c r="R7" s="24" t="s">
        <v>27</v>
      </c>
      <c r="S7" s="24" t="s">
        <v>28</v>
      </c>
      <c r="T7" s="22"/>
      <c r="U7" s="27"/>
      <c r="V7" s="27"/>
      <c r="W7" s="27"/>
      <c r="X7" s="27"/>
      <c r="Y7" s="27"/>
      <c r="Z7" s="27"/>
      <c r="AA7" s="27"/>
      <c r="AB7" s="27"/>
      <c r="AC7" s="27"/>
    </row>
    <row r="8">
      <c r="E8" s="23" t="s">
        <v>15</v>
      </c>
      <c r="F8" s="23">
        <v>70.0</v>
      </c>
      <c r="G8" s="23" t="s">
        <v>67</v>
      </c>
      <c r="H8" s="24" t="s">
        <v>68</v>
      </c>
      <c r="I8" s="24" t="s">
        <v>18</v>
      </c>
      <c r="J8" s="24" t="s">
        <v>69</v>
      </c>
      <c r="K8" s="24" t="s">
        <v>70</v>
      </c>
      <c r="L8" s="25" t="s">
        <v>71</v>
      </c>
      <c r="M8" s="24" t="s">
        <v>72</v>
      </c>
      <c r="N8" s="24" t="s">
        <v>73</v>
      </c>
      <c r="O8" s="26" t="s">
        <v>74</v>
      </c>
      <c r="P8" s="25" t="s">
        <v>25</v>
      </c>
      <c r="Q8" s="25" t="s">
        <v>26</v>
      </c>
      <c r="R8" s="24" t="s">
        <v>27</v>
      </c>
      <c r="S8" s="24" t="s">
        <v>28</v>
      </c>
      <c r="T8" s="22"/>
      <c r="U8" s="27"/>
      <c r="V8" s="27"/>
      <c r="W8" s="27"/>
      <c r="X8" s="27"/>
      <c r="Y8" s="27"/>
      <c r="Z8" s="27"/>
      <c r="AA8" s="27"/>
      <c r="AB8" s="27"/>
      <c r="AC8" s="27"/>
    </row>
    <row r="9">
      <c r="E9" s="23" t="s">
        <v>15</v>
      </c>
      <c r="F9" s="23">
        <v>80.0</v>
      </c>
      <c r="G9" s="23" t="s">
        <v>75</v>
      </c>
      <c r="H9" s="24" t="s">
        <v>76</v>
      </c>
      <c r="I9" s="24" t="s">
        <v>18</v>
      </c>
      <c r="J9" s="24" t="s">
        <v>77</v>
      </c>
      <c r="K9" s="24" t="s">
        <v>78</v>
      </c>
      <c r="L9" s="25" t="s">
        <v>79</v>
      </c>
      <c r="M9" s="24" t="s">
        <v>80</v>
      </c>
      <c r="N9" s="24" t="s">
        <v>73</v>
      </c>
      <c r="O9" s="26" t="s">
        <v>81</v>
      </c>
      <c r="P9" s="25" t="s">
        <v>25</v>
      </c>
      <c r="Q9" s="25" t="s">
        <v>26</v>
      </c>
      <c r="R9" s="24" t="s">
        <v>27</v>
      </c>
      <c r="S9" s="24" t="s">
        <v>82</v>
      </c>
      <c r="T9" s="22"/>
      <c r="U9" s="27"/>
      <c r="V9" s="27"/>
      <c r="W9" s="27"/>
      <c r="X9" s="27"/>
      <c r="Y9" s="27"/>
      <c r="Z9" s="27"/>
      <c r="AA9" s="27"/>
      <c r="AB9" s="27"/>
      <c r="AC9" s="27"/>
    </row>
    <row r="10">
      <c r="E10" s="23" t="s">
        <v>15</v>
      </c>
      <c r="F10" s="23">
        <v>90.0</v>
      </c>
      <c r="G10" s="23" t="s">
        <v>83</v>
      </c>
      <c r="H10" s="24" t="s">
        <v>84</v>
      </c>
      <c r="I10" s="24" t="s">
        <v>18</v>
      </c>
      <c r="J10" s="24" t="s">
        <v>85</v>
      </c>
      <c r="K10" s="24" t="s">
        <v>86</v>
      </c>
      <c r="L10" s="25" t="s">
        <v>87</v>
      </c>
      <c r="M10" s="24" t="s">
        <v>88</v>
      </c>
      <c r="N10" s="24" t="s">
        <v>73</v>
      </c>
      <c r="O10" s="26" t="s">
        <v>89</v>
      </c>
      <c r="P10" s="25" t="s">
        <v>25</v>
      </c>
      <c r="Q10" s="25" t="s">
        <v>26</v>
      </c>
      <c r="R10" s="24" t="s">
        <v>27</v>
      </c>
      <c r="S10" s="24" t="s">
        <v>82</v>
      </c>
      <c r="T10" s="22"/>
      <c r="U10" s="27"/>
      <c r="V10" s="27"/>
      <c r="W10" s="27"/>
      <c r="X10" s="27"/>
      <c r="Y10" s="27"/>
      <c r="Z10" s="27"/>
      <c r="AA10" s="27"/>
      <c r="AB10" s="27"/>
      <c r="AC10" s="27"/>
    </row>
    <row r="11">
      <c r="E11" s="23" t="s">
        <v>15</v>
      </c>
      <c r="F11" s="23">
        <v>100.0</v>
      </c>
      <c r="G11" s="23" t="s">
        <v>90</v>
      </c>
      <c r="H11" s="24" t="s">
        <v>91</v>
      </c>
      <c r="I11" s="24" t="s">
        <v>92</v>
      </c>
      <c r="J11" s="24" t="s">
        <v>93</v>
      </c>
      <c r="K11" s="24" t="s">
        <v>94</v>
      </c>
      <c r="L11" s="25" t="s">
        <v>95</v>
      </c>
      <c r="M11" s="25" t="s">
        <v>96</v>
      </c>
      <c r="N11" s="24" t="s">
        <v>73</v>
      </c>
      <c r="O11" s="26" t="s">
        <v>97</v>
      </c>
      <c r="P11" s="25" t="s">
        <v>25</v>
      </c>
      <c r="Q11" s="25" t="s">
        <v>26</v>
      </c>
      <c r="R11" s="24" t="s">
        <v>27</v>
      </c>
      <c r="S11" s="24" t="s">
        <v>82</v>
      </c>
      <c r="T11" s="22"/>
      <c r="U11" s="27"/>
      <c r="V11" s="27"/>
      <c r="W11" s="27"/>
      <c r="X11" s="27"/>
      <c r="Y11" s="27"/>
      <c r="Z11" s="27"/>
      <c r="AA11" s="27"/>
      <c r="AB11" s="27"/>
      <c r="AC11" s="27"/>
    </row>
    <row r="12">
      <c r="E12" s="23" t="s">
        <v>15</v>
      </c>
      <c r="F12" s="23">
        <v>110.0</v>
      </c>
      <c r="G12" s="23" t="s">
        <v>98</v>
      </c>
      <c r="H12" s="24" t="s">
        <v>99</v>
      </c>
      <c r="I12" s="24" t="s">
        <v>44</v>
      </c>
      <c r="J12" s="24" t="s">
        <v>100</v>
      </c>
      <c r="K12" s="24" t="s">
        <v>101</v>
      </c>
      <c r="L12" s="25" t="s">
        <v>102</v>
      </c>
      <c r="M12" s="24" t="s">
        <v>103</v>
      </c>
      <c r="N12" s="24" t="s">
        <v>73</v>
      </c>
      <c r="O12" s="26" t="s">
        <v>104</v>
      </c>
      <c r="P12" s="25" t="s">
        <v>25</v>
      </c>
      <c r="Q12" s="25" t="s">
        <v>26</v>
      </c>
      <c r="R12" s="24" t="s">
        <v>27</v>
      </c>
      <c r="S12" s="24" t="s">
        <v>82</v>
      </c>
      <c r="T12" s="22"/>
      <c r="U12" s="27"/>
      <c r="V12" s="27"/>
      <c r="W12" s="27"/>
      <c r="X12" s="27"/>
      <c r="Y12" s="27"/>
      <c r="Z12" s="27"/>
      <c r="AA12" s="27"/>
      <c r="AB12" s="27"/>
      <c r="AC12" s="27"/>
    </row>
    <row r="13">
      <c r="E13" s="23" t="s">
        <v>15</v>
      </c>
      <c r="F13" s="23">
        <v>120.0</v>
      </c>
      <c r="G13" s="23" t="s">
        <v>105</v>
      </c>
      <c r="H13" s="25" t="s">
        <v>106</v>
      </c>
      <c r="I13" s="24" t="s">
        <v>18</v>
      </c>
      <c r="J13" s="24" t="s">
        <v>107</v>
      </c>
      <c r="K13" s="24" t="s">
        <v>108</v>
      </c>
      <c r="L13" s="25" t="s">
        <v>109</v>
      </c>
      <c r="M13" s="25" t="s">
        <v>110</v>
      </c>
      <c r="N13" s="24" t="s">
        <v>73</v>
      </c>
      <c r="O13" s="26" t="s">
        <v>111</v>
      </c>
      <c r="P13" s="25" t="s">
        <v>25</v>
      </c>
      <c r="Q13" s="25" t="s">
        <v>26</v>
      </c>
      <c r="R13" s="24" t="s">
        <v>27</v>
      </c>
      <c r="S13" s="24" t="s">
        <v>82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E14" s="23" t="s">
        <v>15</v>
      </c>
      <c r="F14" s="23">
        <v>130.0</v>
      </c>
      <c r="G14" s="23" t="s">
        <v>112</v>
      </c>
      <c r="H14" s="24" t="s">
        <v>113</v>
      </c>
      <c r="I14" s="24" t="s">
        <v>18</v>
      </c>
      <c r="J14" s="24" t="s">
        <v>114</v>
      </c>
      <c r="K14" s="24" t="s">
        <v>115</v>
      </c>
      <c r="L14" s="25" t="s">
        <v>116</v>
      </c>
      <c r="M14" s="24" t="s">
        <v>117</v>
      </c>
      <c r="N14" s="24" t="s">
        <v>118</v>
      </c>
      <c r="O14" s="26" t="s">
        <v>119</v>
      </c>
      <c r="P14" s="25" t="s">
        <v>25</v>
      </c>
      <c r="Q14" s="25" t="s">
        <v>26</v>
      </c>
      <c r="R14" s="24" t="s">
        <v>27</v>
      </c>
      <c r="S14" s="24" t="s">
        <v>82</v>
      </c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E15" s="23" t="s">
        <v>15</v>
      </c>
      <c r="F15" s="23">
        <v>140.0</v>
      </c>
      <c r="G15" s="23" t="s">
        <v>120</v>
      </c>
      <c r="H15" s="24" t="s">
        <v>121</v>
      </c>
      <c r="I15" s="24" t="s">
        <v>18</v>
      </c>
      <c r="J15" s="24" t="s">
        <v>122</v>
      </c>
      <c r="K15" s="24" t="s">
        <v>123</v>
      </c>
      <c r="L15" s="25" t="s">
        <v>124</v>
      </c>
      <c r="M15" s="24" t="s">
        <v>125</v>
      </c>
      <c r="N15" s="24" t="s">
        <v>73</v>
      </c>
      <c r="O15" s="26" t="s">
        <v>126</v>
      </c>
      <c r="P15" s="25" t="s">
        <v>25</v>
      </c>
      <c r="Q15" s="25" t="s">
        <v>26</v>
      </c>
      <c r="R15" s="24" t="s">
        <v>27</v>
      </c>
      <c r="S15" s="24" t="s">
        <v>82</v>
      </c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E16" s="23" t="s">
        <v>15</v>
      </c>
      <c r="F16" s="23">
        <v>150.0</v>
      </c>
      <c r="G16" s="23" t="s">
        <v>127</v>
      </c>
      <c r="H16" s="24" t="s">
        <v>128</v>
      </c>
      <c r="I16" s="24" t="s">
        <v>18</v>
      </c>
      <c r="J16" s="24" t="s">
        <v>129</v>
      </c>
      <c r="K16" s="24" t="s">
        <v>130</v>
      </c>
      <c r="L16" s="25" t="s">
        <v>131</v>
      </c>
      <c r="M16" s="24" t="s">
        <v>132</v>
      </c>
      <c r="N16" s="24" t="s">
        <v>73</v>
      </c>
      <c r="O16" s="26" t="s">
        <v>133</v>
      </c>
      <c r="P16" s="25" t="s">
        <v>25</v>
      </c>
      <c r="Q16" s="25" t="s">
        <v>26</v>
      </c>
      <c r="R16" s="24" t="s">
        <v>27</v>
      </c>
      <c r="S16" s="24" t="s">
        <v>134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E17" s="23" t="s">
        <v>15</v>
      </c>
      <c r="F17" s="23">
        <v>160.0</v>
      </c>
      <c r="G17" s="23" t="s">
        <v>135</v>
      </c>
      <c r="H17" s="24" t="s">
        <v>136</v>
      </c>
      <c r="I17" s="24" t="s">
        <v>37</v>
      </c>
      <c r="J17" s="24" t="s">
        <v>137</v>
      </c>
      <c r="K17" s="24" t="s">
        <v>138</v>
      </c>
      <c r="L17" s="25" t="s">
        <v>139</v>
      </c>
      <c r="M17" s="24" t="s">
        <v>140</v>
      </c>
      <c r="N17" s="24" t="s">
        <v>73</v>
      </c>
      <c r="O17" s="26" t="s">
        <v>141</v>
      </c>
      <c r="P17" s="25" t="s">
        <v>25</v>
      </c>
      <c r="Q17" s="25" t="s">
        <v>26</v>
      </c>
      <c r="R17" s="24" t="s">
        <v>27</v>
      </c>
      <c r="S17" s="24" t="s">
        <v>134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E18" s="23" t="s">
        <v>15</v>
      </c>
      <c r="F18" s="23">
        <v>170.0</v>
      </c>
      <c r="G18" s="23" t="s">
        <v>142</v>
      </c>
      <c r="H18" s="24" t="s">
        <v>143</v>
      </c>
      <c r="I18" s="24" t="s">
        <v>18</v>
      </c>
      <c r="J18" s="24" t="s">
        <v>144</v>
      </c>
      <c r="K18" s="24" t="s">
        <v>145</v>
      </c>
      <c r="L18" s="25" t="s">
        <v>146</v>
      </c>
      <c r="M18" s="24" t="s">
        <v>147</v>
      </c>
      <c r="N18" s="24" t="s">
        <v>73</v>
      </c>
      <c r="O18" s="26" t="s">
        <v>148</v>
      </c>
      <c r="P18" s="25" t="s">
        <v>25</v>
      </c>
      <c r="Q18" s="25" t="s">
        <v>26</v>
      </c>
      <c r="R18" s="24" t="s">
        <v>27</v>
      </c>
      <c r="S18" s="24" t="s">
        <v>134</v>
      </c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E19" s="23" t="s">
        <v>15</v>
      </c>
      <c r="F19" s="23">
        <v>180.0</v>
      </c>
      <c r="G19" s="23" t="s">
        <v>149</v>
      </c>
      <c r="H19" s="24" t="s">
        <v>150</v>
      </c>
      <c r="I19" s="24" t="s">
        <v>18</v>
      </c>
      <c r="J19" s="24" t="s">
        <v>151</v>
      </c>
      <c r="K19" s="24" t="s">
        <v>152</v>
      </c>
      <c r="L19" s="25" t="s">
        <v>153</v>
      </c>
      <c r="M19" s="25" t="s">
        <v>154</v>
      </c>
      <c r="N19" s="24" t="s">
        <v>73</v>
      </c>
      <c r="O19" s="26" t="s">
        <v>155</v>
      </c>
      <c r="P19" s="25" t="s">
        <v>25</v>
      </c>
      <c r="Q19" s="25" t="s">
        <v>51</v>
      </c>
      <c r="R19" s="24" t="s">
        <v>27</v>
      </c>
      <c r="S19" s="24" t="s">
        <v>134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E20" s="23" t="s">
        <v>15</v>
      </c>
      <c r="F20" s="23">
        <v>190.0</v>
      </c>
      <c r="G20" s="23" t="s">
        <v>156</v>
      </c>
      <c r="H20" s="24" t="s">
        <v>157</v>
      </c>
      <c r="I20" s="24" t="s">
        <v>92</v>
      </c>
      <c r="J20" s="24" t="s">
        <v>158</v>
      </c>
      <c r="K20" s="24" t="s">
        <v>159</v>
      </c>
      <c r="L20" s="25" t="s">
        <v>160</v>
      </c>
      <c r="M20" s="24" t="s">
        <v>161</v>
      </c>
      <c r="N20" s="24" t="s">
        <v>118</v>
      </c>
      <c r="O20" s="26" t="s">
        <v>162</v>
      </c>
      <c r="P20" s="25" t="s">
        <v>25</v>
      </c>
      <c r="Q20" s="25" t="s">
        <v>26</v>
      </c>
      <c r="R20" s="24" t="s">
        <v>27</v>
      </c>
      <c r="S20" s="24" t="s">
        <v>134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E21" s="23" t="s">
        <v>15</v>
      </c>
      <c r="F21" s="23">
        <v>200.0</v>
      </c>
      <c r="G21" s="23" t="s">
        <v>163</v>
      </c>
      <c r="H21" s="24" t="s">
        <v>164</v>
      </c>
      <c r="I21" s="24" t="s">
        <v>37</v>
      </c>
      <c r="J21" s="24" t="s">
        <v>165</v>
      </c>
      <c r="K21" s="24" t="s">
        <v>86</v>
      </c>
      <c r="L21" s="25" t="s">
        <v>166</v>
      </c>
      <c r="M21" s="24" t="s">
        <v>167</v>
      </c>
      <c r="N21" s="24" t="s">
        <v>73</v>
      </c>
      <c r="O21" s="26" t="s">
        <v>168</v>
      </c>
      <c r="P21" s="25" t="s">
        <v>25</v>
      </c>
      <c r="Q21" s="25" t="s">
        <v>26</v>
      </c>
      <c r="R21" s="24" t="s">
        <v>27</v>
      </c>
      <c r="S21" s="24" t="s">
        <v>134</v>
      </c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E22" s="23" t="s">
        <v>15</v>
      </c>
      <c r="F22" s="23">
        <v>210.0</v>
      </c>
      <c r="G22" s="23"/>
      <c r="H22" s="24"/>
      <c r="I22" s="24"/>
      <c r="J22" s="24"/>
      <c r="K22" s="24"/>
      <c r="L22" s="24"/>
      <c r="M22" s="24"/>
      <c r="N22" s="24"/>
      <c r="O22" s="26"/>
      <c r="P22" s="24"/>
      <c r="Q22" s="24"/>
      <c r="R22" s="24"/>
      <c r="S22" s="24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E23" s="23" t="s">
        <v>15</v>
      </c>
      <c r="F23" s="23">
        <v>220.0</v>
      </c>
      <c r="G23" s="23"/>
      <c r="H23" s="24"/>
      <c r="I23" s="24"/>
      <c r="J23" s="24"/>
      <c r="K23" s="24"/>
      <c r="L23" s="24"/>
      <c r="M23" s="24"/>
      <c r="N23" s="24"/>
      <c r="O23" s="26"/>
      <c r="P23" s="24"/>
      <c r="Q23" s="24"/>
      <c r="R23" s="24"/>
      <c r="S23" s="24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E24" s="23" t="s">
        <v>15</v>
      </c>
      <c r="F24" s="23">
        <v>230.0</v>
      </c>
      <c r="G24" s="23"/>
      <c r="H24" s="24"/>
      <c r="I24" s="24"/>
      <c r="J24" s="24"/>
      <c r="K24" s="24"/>
      <c r="L24" s="24"/>
      <c r="M24" s="24"/>
      <c r="N24" s="24"/>
      <c r="O24" s="26"/>
      <c r="P24" s="24"/>
      <c r="Q24" s="24"/>
      <c r="R24" s="24"/>
      <c r="S24" s="24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E25" s="23" t="s">
        <v>15</v>
      </c>
      <c r="F25" s="23">
        <v>240.0</v>
      </c>
      <c r="G25" s="23"/>
      <c r="H25" s="24"/>
      <c r="I25" s="24"/>
      <c r="J25" s="24"/>
      <c r="K25" s="24"/>
      <c r="L25" s="24"/>
      <c r="M25" s="24"/>
      <c r="N25" s="24"/>
      <c r="O25" s="26"/>
      <c r="P25" s="24"/>
      <c r="Q25" s="24"/>
      <c r="R25" s="24"/>
      <c r="S25" s="24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E26" s="23" t="s">
        <v>15</v>
      </c>
      <c r="F26" s="23">
        <v>250.0</v>
      </c>
      <c r="G26" s="23"/>
      <c r="H26" s="24"/>
      <c r="I26" s="24"/>
      <c r="J26" s="24"/>
      <c r="K26" s="24"/>
      <c r="L26" s="24"/>
      <c r="M26" s="24"/>
      <c r="N26" s="24"/>
      <c r="O26" s="26"/>
      <c r="P26" s="24"/>
      <c r="Q26" s="24"/>
      <c r="R26" s="24"/>
      <c r="S26" s="24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E27" s="23" t="s">
        <v>15</v>
      </c>
      <c r="F27" s="23">
        <v>260.0</v>
      </c>
      <c r="G27" s="23"/>
      <c r="H27" s="24"/>
      <c r="I27" s="24"/>
      <c r="J27" s="24"/>
      <c r="K27" s="24"/>
      <c r="L27" s="24"/>
      <c r="M27" s="24"/>
      <c r="N27" s="24"/>
      <c r="O27" s="26"/>
      <c r="P27" s="24"/>
      <c r="Q27" s="24"/>
      <c r="R27" s="24"/>
      <c r="S27" s="24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E28" s="23" t="s">
        <v>15</v>
      </c>
      <c r="F28" s="23">
        <v>270.0</v>
      </c>
      <c r="G28" s="23"/>
      <c r="H28" s="24"/>
      <c r="I28" s="24"/>
      <c r="J28" s="24"/>
      <c r="K28" s="24"/>
      <c r="L28" s="24"/>
      <c r="M28" s="24"/>
      <c r="N28" s="24"/>
      <c r="O28" s="26"/>
      <c r="P28" s="24"/>
      <c r="Q28" s="24"/>
      <c r="R28" s="24"/>
      <c r="S28" s="24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E29" s="23" t="s">
        <v>15</v>
      </c>
      <c r="F29" s="23">
        <v>280.0</v>
      </c>
      <c r="G29" s="23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E30" s="23" t="s">
        <v>15</v>
      </c>
      <c r="F30" s="23">
        <v>290.0</v>
      </c>
      <c r="G30" s="23"/>
      <c r="H30" s="24"/>
      <c r="I30" s="24"/>
      <c r="J30" s="24"/>
      <c r="K30" s="24"/>
      <c r="L30" s="24"/>
      <c r="M30" s="24"/>
      <c r="N30" s="24"/>
      <c r="O30" s="26"/>
      <c r="P30" s="24"/>
      <c r="Q30" s="24"/>
      <c r="R30" s="24"/>
      <c r="S30" s="24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E31" s="23" t="s">
        <v>15</v>
      </c>
      <c r="F31" s="23">
        <v>300.0</v>
      </c>
      <c r="G31" s="23"/>
      <c r="H31" s="24"/>
      <c r="I31" s="24"/>
      <c r="J31" s="24"/>
      <c r="K31" s="24"/>
      <c r="L31" s="24"/>
      <c r="M31" s="24"/>
      <c r="N31" s="24"/>
      <c r="O31" s="26"/>
      <c r="P31" s="24"/>
      <c r="Q31" s="24"/>
      <c r="R31" s="24"/>
      <c r="S31" s="24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E32" s="23" t="s">
        <v>15</v>
      </c>
      <c r="F32" s="23">
        <v>310.0</v>
      </c>
      <c r="G32" s="23"/>
      <c r="H32" s="24"/>
      <c r="I32" s="24"/>
      <c r="J32" s="24"/>
      <c r="K32" s="24"/>
      <c r="L32" s="24"/>
      <c r="M32" s="24"/>
      <c r="N32" s="24"/>
      <c r="O32" s="26"/>
      <c r="P32" s="24"/>
      <c r="Q32" s="24"/>
      <c r="R32" s="24"/>
      <c r="S32" s="24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E33" s="23" t="s">
        <v>15</v>
      </c>
      <c r="F33" s="23">
        <v>320.0</v>
      </c>
      <c r="G33" s="23"/>
      <c r="H33" s="24"/>
      <c r="I33" s="24"/>
      <c r="J33" s="24"/>
      <c r="K33" s="24"/>
      <c r="L33" s="24"/>
      <c r="M33" s="24"/>
      <c r="N33" s="24"/>
      <c r="O33" s="26"/>
      <c r="P33" s="24"/>
      <c r="Q33" s="24"/>
      <c r="R33" s="24"/>
      <c r="S33" s="24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E34" s="23" t="s">
        <v>15</v>
      </c>
      <c r="F34" s="23">
        <v>330.0</v>
      </c>
      <c r="G34" s="23"/>
      <c r="H34" s="24"/>
      <c r="I34" s="24"/>
      <c r="J34" s="24"/>
      <c r="K34" s="24"/>
      <c r="L34" s="24"/>
      <c r="M34" s="24"/>
      <c r="N34" s="24"/>
      <c r="O34" s="26"/>
      <c r="P34" s="24"/>
      <c r="Q34" s="24"/>
      <c r="R34" s="24"/>
      <c r="S34" s="24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E35" s="23" t="s">
        <v>15</v>
      </c>
      <c r="F35" s="23">
        <v>340.0</v>
      </c>
      <c r="G35" s="23"/>
      <c r="H35" s="24"/>
      <c r="I35" s="24"/>
      <c r="J35" s="24"/>
      <c r="K35" s="24"/>
      <c r="L35" s="24"/>
      <c r="M35" s="24"/>
      <c r="N35" s="24"/>
      <c r="O35" s="26"/>
      <c r="P35" s="24"/>
      <c r="Q35" s="24"/>
      <c r="R35" s="24"/>
      <c r="S35" s="24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E36" s="23" t="s">
        <v>15</v>
      </c>
      <c r="F36" s="23">
        <v>350.0</v>
      </c>
      <c r="G36" s="23"/>
      <c r="H36" s="24"/>
      <c r="I36" s="24"/>
      <c r="J36" s="24"/>
      <c r="K36" s="24"/>
      <c r="L36" s="24"/>
      <c r="M36" s="24"/>
      <c r="N36" s="24"/>
      <c r="O36" s="26"/>
      <c r="P36" s="24"/>
      <c r="Q36" s="24"/>
      <c r="R36" s="24"/>
      <c r="S36" s="24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E37" s="23" t="s">
        <v>15</v>
      </c>
      <c r="F37" s="23">
        <v>360.0</v>
      </c>
      <c r="G37" s="23"/>
      <c r="H37" s="24"/>
      <c r="I37" s="24"/>
      <c r="J37" s="24"/>
      <c r="K37" s="24"/>
      <c r="L37" s="24"/>
      <c r="M37" s="24"/>
      <c r="N37" s="24"/>
      <c r="O37" s="26"/>
      <c r="P37" s="24"/>
      <c r="Q37" s="24"/>
      <c r="R37" s="24"/>
      <c r="S37" s="24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E38" s="23" t="s">
        <v>15</v>
      </c>
      <c r="F38" s="23">
        <v>370.0</v>
      </c>
      <c r="G38" s="23"/>
      <c r="H38" s="24"/>
      <c r="I38" s="24"/>
      <c r="J38" s="24"/>
      <c r="K38" s="24"/>
      <c r="L38" s="28"/>
      <c r="M38" s="24"/>
      <c r="N38" s="24"/>
      <c r="O38" s="26"/>
      <c r="P38" s="24"/>
      <c r="Q38" s="24"/>
      <c r="R38" s="24"/>
      <c r="S38" s="24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E39" s="23" t="s">
        <v>15</v>
      </c>
      <c r="F39" s="23">
        <v>380.0</v>
      </c>
      <c r="G39" s="23"/>
      <c r="H39" s="24"/>
      <c r="I39" s="24"/>
      <c r="J39" s="24"/>
      <c r="K39" s="24"/>
      <c r="L39" s="28"/>
      <c r="M39" s="24"/>
      <c r="N39" s="24"/>
      <c r="O39" s="26"/>
      <c r="P39" s="24"/>
      <c r="Q39" s="24"/>
      <c r="R39" s="24"/>
      <c r="S39" s="24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E40" s="23" t="s">
        <v>15</v>
      </c>
      <c r="F40" s="23">
        <v>390.0</v>
      </c>
      <c r="G40" s="23"/>
      <c r="H40" s="24"/>
      <c r="I40" s="24"/>
      <c r="J40" s="24"/>
      <c r="K40" s="24"/>
      <c r="L40" s="28"/>
      <c r="M40" s="24"/>
      <c r="N40" s="24"/>
      <c r="O40" s="26"/>
      <c r="P40" s="24"/>
      <c r="Q40" s="24"/>
      <c r="R40" s="24"/>
      <c r="S40" s="24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E41" s="23" t="s">
        <v>15</v>
      </c>
      <c r="F41" s="23">
        <v>400.0</v>
      </c>
      <c r="G41" s="23"/>
      <c r="H41" s="24"/>
      <c r="I41" s="24"/>
      <c r="J41" s="24"/>
      <c r="K41" s="24"/>
      <c r="L41" s="28"/>
      <c r="M41" s="24"/>
      <c r="N41" s="24"/>
      <c r="O41" s="26"/>
      <c r="P41" s="24"/>
      <c r="Q41" s="24"/>
      <c r="R41" s="24"/>
      <c r="S41" s="24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E42" s="23" t="s">
        <v>15</v>
      </c>
      <c r="F42" s="23">
        <v>410.0</v>
      </c>
      <c r="G42" s="23"/>
      <c r="H42" s="24"/>
      <c r="I42" s="24"/>
      <c r="J42" s="24"/>
      <c r="K42" s="24"/>
      <c r="L42" s="28"/>
      <c r="M42" s="24"/>
      <c r="N42" s="24"/>
      <c r="O42" s="26"/>
      <c r="P42" s="24"/>
      <c r="Q42" s="24"/>
      <c r="R42" s="24"/>
      <c r="S42" s="24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E43" s="23" t="s">
        <v>15</v>
      </c>
      <c r="F43" s="23">
        <v>420.0</v>
      </c>
      <c r="G43" s="23"/>
      <c r="H43" s="24"/>
      <c r="I43" s="24"/>
      <c r="J43" s="24"/>
      <c r="K43" s="24"/>
      <c r="L43" s="28"/>
      <c r="M43" s="24"/>
      <c r="N43" s="24"/>
      <c r="O43" s="26"/>
      <c r="P43" s="24"/>
      <c r="Q43" s="24"/>
      <c r="R43" s="24"/>
      <c r="S43" s="24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E44" s="23" t="s">
        <v>15</v>
      </c>
      <c r="F44" s="23">
        <v>430.0</v>
      </c>
      <c r="G44" s="23"/>
      <c r="H44" s="24"/>
      <c r="I44" s="24"/>
      <c r="J44" s="24"/>
      <c r="K44" s="24"/>
      <c r="L44" s="28"/>
      <c r="M44" s="24"/>
      <c r="N44" s="24"/>
      <c r="O44" s="26"/>
      <c r="P44" s="24"/>
      <c r="Q44" s="24"/>
      <c r="R44" s="24"/>
      <c r="S44" s="24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E45" s="23" t="s">
        <v>15</v>
      </c>
      <c r="F45" s="23">
        <v>440.0</v>
      </c>
      <c r="G45" s="23"/>
      <c r="H45" s="24"/>
      <c r="I45" s="24"/>
      <c r="J45" s="24"/>
      <c r="K45" s="24"/>
      <c r="L45" s="28"/>
      <c r="M45" s="24"/>
      <c r="N45" s="24"/>
      <c r="O45" s="26"/>
      <c r="P45" s="24"/>
      <c r="Q45" s="24"/>
      <c r="R45" s="24"/>
      <c r="S45" s="24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E46" s="23" t="s">
        <v>15</v>
      </c>
      <c r="F46" s="23">
        <v>450.0</v>
      </c>
      <c r="G46" s="23"/>
      <c r="H46" s="24"/>
      <c r="I46" s="24"/>
      <c r="J46" s="24"/>
      <c r="K46" s="24"/>
      <c r="L46" s="28"/>
      <c r="M46" s="24"/>
      <c r="N46" s="24"/>
      <c r="O46" s="26"/>
      <c r="P46" s="24"/>
      <c r="Q46" s="24"/>
      <c r="R46" s="24"/>
      <c r="S46" s="24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E47" s="23" t="s">
        <v>15</v>
      </c>
      <c r="F47" s="23">
        <v>460.0</v>
      </c>
      <c r="G47" s="23"/>
      <c r="H47" s="24"/>
      <c r="I47" s="24"/>
      <c r="J47" s="24"/>
      <c r="K47" s="24"/>
      <c r="L47" s="28"/>
      <c r="M47" s="24"/>
      <c r="N47" s="24"/>
      <c r="O47" s="26"/>
      <c r="P47" s="24"/>
      <c r="Q47" s="24"/>
      <c r="R47" s="24"/>
      <c r="S47" s="24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E48" s="23" t="s">
        <v>15</v>
      </c>
      <c r="F48" s="23">
        <v>470.0</v>
      </c>
      <c r="G48" s="23"/>
      <c r="H48" s="24"/>
      <c r="I48" s="24"/>
      <c r="J48" s="24"/>
      <c r="K48" s="24"/>
      <c r="L48" s="28"/>
      <c r="M48" s="24"/>
      <c r="N48" s="24"/>
      <c r="O48" s="26"/>
      <c r="P48" s="24"/>
      <c r="Q48" s="24"/>
      <c r="R48" s="24"/>
      <c r="S48" s="24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E49" s="23" t="s">
        <v>15</v>
      </c>
      <c r="F49" s="23">
        <v>480.0</v>
      </c>
      <c r="G49" s="23"/>
      <c r="H49" s="24"/>
      <c r="I49" s="24"/>
      <c r="J49" s="24"/>
      <c r="K49" s="24"/>
      <c r="L49" s="28"/>
      <c r="M49" s="24"/>
      <c r="N49" s="24"/>
      <c r="O49" s="26"/>
      <c r="P49" s="24"/>
      <c r="Q49" s="24"/>
      <c r="R49" s="24"/>
      <c r="S49" s="24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E50" s="23" t="s">
        <v>15</v>
      </c>
      <c r="F50" s="23">
        <v>490.0</v>
      </c>
      <c r="G50" s="23"/>
      <c r="H50" s="24"/>
      <c r="I50" s="24"/>
      <c r="J50" s="24"/>
      <c r="K50" s="24"/>
      <c r="L50" s="28"/>
      <c r="M50" s="24"/>
      <c r="N50" s="24"/>
      <c r="O50" s="26"/>
      <c r="P50" s="24"/>
      <c r="Q50" s="24"/>
      <c r="R50" s="24"/>
      <c r="S50" s="24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E51" s="23" t="s">
        <v>15</v>
      </c>
      <c r="F51" s="23">
        <v>500.0</v>
      </c>
      <c r="G51" s="23"/>
      <c r="H51" s="24"/>
      <c r="I51" s="24"/>
      <c r="J51" s="24"/>
      <c r="K51" s="24"/>
      <c r="L51" s="28"/>
      <c r="M51" s="24"/>
      <c r="N51" s="24"/>
      <c r="O51" s="26"/>
      <c r="P51" s="24"/>
      <c r="Q51" s="24"/>
      <c r="R51" s="24"/>
      <c r="S51" s="24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E52" s="23" t="s">
        <v>15</v>
      </c>
      <c r="F52" s="23">
        <v>510.0</v>
      </c>
      <c r="G52" s="23"/>
      <c r="H52" s="24"/>
      <c r="I52" s="24"/>
      <c r="J52" s="24"/>
      <c r="K52" s="24"/>
      <c r="L52" s="28"/>
      <c r="M52" s="24"/>
      <c r="N52" s="24"/>
      <c r="O52" s="26"/>
      <c r="P52" s="24"/>
      <c r="Q52" s="24"/>
      <c r="R52" s="24"/>
      <c r="S52" s="24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E53" s="23" t="s">
        <v>15</v>
      </c>
      <c r="F53" s="23">
        <v>520.0</v>
      </c>
      <c r="G53" s="23"/>
      <c r="H53" s="24"/>
      <c r="I53" s="24"/>
      <c r="J53" s="24"/>
      <c r="K53" s="24"/>
      <c r="L53" s="28"/>
      <c r="M53" s="24"/>
      <c r="N53" s="24"/>
      <c r="O53" s="26"/>
      <c r="P53" s="24"/>
      <c r="Q53" s="24"/>
      <c r="R53" s="24"/>
      <c r="S53" s="24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E54" s="23" t="s">
        <v>15</v>
      </c>
      <c r="F54" s="23">
        <v>530.0</v>
      </c>
      <c r="G54" s="23"/>
      <c r="H54" s="24"/>
      <c r="I54" s="24"/>
      <c r="J54" s="24"/>
      <c r="K54" s="24"/>
      <c r="L54" s="28"/>
      <c r="M54" s="24"/>
      <c r="N54" s="24"/>
      <c r="O54" s="26"/>
      <c r="P54" s="24"/>
      <c r="Q54" s="24"/>
      <c r="R54" s="24"/>
      <c r="S54" s="24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E55" s="23" t="s">
        <v>15</v>
      </c>
      <c r="F55" s="23">
        <v>540.0</v>
      </c>
      <c r="G55" s="23"/>
      <c r="H55" s="24"/>
      <c r="I55" s="24"/>
      <c r="J55" s="24"/>
      <c r="K55" s="24"/>
      <c r="L55" s="28"/>
      <c r="M55" s="24"/>
      <c r="N55" s="24"/>
      <c r="O55" s="26"/>
      <c r="P55" s="24"/>
      <c r="Q55" s="24"/>
      <c r="R55" s="24"/>
      <c r="S55" s="24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ht="44.25" customHeight="1">
      <c r="E56" s="23" t="s">
        <v>15</v>
      </c>
      <c r="F56" s="23">
        <v>550.0</v>
      </c>
      <c r="G56" s="23"/>
      <c r="H56" s="24"/>
      <c r="I56" s="24"/>
      <c r="J56" s="24"/>
      <c r="K56" s="24"/>
      <c r="L56" s="28"/>
      <c r="M56" s="24"/>
      <c r="N56" s="24"/>
      <c r="O56" s="26"/>
      <c r="P56" s="24"/>
      <c r="Q56" s="24"/>
      <c r="R56" s="24"/>
      <c r="S56" s="24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E57" s="23" t="s">
        <v>15</v>
      </c>
      <c r="F57" s="23">
        <v>560.0</v>
      </c>
      <c r="G57" s="23"/>
      <c r="H57" s="24"/>
      <c r="I57" s="24"/>
      <c r="J57" s="24"/>
      <c r="K57" s="24"/>
      <c r="L57" s="28"/>
      <c r="M57" s="24"/>
      <c r="N57" s="24"/>
      <c r="O57" s="26"/>
      <c r="P57" s="24"/>
      <c r="Q57" s="24"/>
      <c r="R57" s="24"/>
      <c r="S57" s="24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E58" s="23" t="s">
        <v>15</v>
      </c>
      <c r="F58" s="23">
        <v>570.0</v>
      </c>
      <c r="G58" s="23"/>
      <c r="H58" s="24"/>
      <c r="I58" s="24"/>
      <c r="J58" s="24"/>
      <c r="K58" s="24"/>
      <c r="L58" s="29"/>
      <c r="M58" s="24"/>
      <c r="N58" s="24"/>
      <c r="O58" s="26"/>
      <c r="P58" s="24"/>
      <c r="Q58" s="24"/>
      <c r="R58" s="24"/>
      <c r="S58" s="24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E59" s="23" t="s">
        <v>15</v>
      </c>
      <c r="F59" s="23">
        <v>580.0</v>
      </c>
      <c r="G59" s="23"/>
      <c r="H59" s="24"/>
      <c r="I59" s="24"/>
      <c r="J59" s="24"/>
      <c r="K59" s="24"/>
      <c r="L59" s="30"/>
      <c r="M59" s="24"/>
      <c r="N59" s="24"/>
      <c r="O59" s="26"/>
      <c r="P59" s="24"/>
      <c r="Q59" s="24"/>
      <c r="R59" s="24"/>
      <c r="S59" s="24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E60" s="23" t="s">
        <v>15</v>
      </c>
      <c r="F60" s="23">
        <v>590.0</v>
      </c>
      <c r="G60" s="23"/>
      <c r="H60" s="24"/>
      <c r="I60" s="24"/>
      <c r="J60" s="24"/>
      <c r="K60" s="24"/>
      <c r="L60" s="30"/>
      <c r="M60" s="24"/>
      <c r="N60" s="24"/>
      <c r="O60" s="26"/>
      <c r="P60" s="24"/>
      <c r="Q60" s="24"/>
      <c r="R60" s="24"/>
      <c r="S60" s="24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E61" s="23" t="s">
        <v>15</v>
      </c>
      <c r="F61" s="23">
        <v>600.0</v>
      </c>
      <c r="G61" s="23"/>
      <c r="H61" s="24"/>
      <c r="I61" s="24"/>
      <c r="J61" s="24"/>
      <c r="K61" s="24"/>
      <c r="L61" s="30"/>
      <c r="M61" s="24"/>
      <c r="N61" s="24"/>
      <c r="O61" s="26"/>
      <c r="P61" s="24"/>
      <c r="Q61" s="24"/>
      <c r="R61" s="24"/>
      <c r="S61" s="24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E62" s="23" t="s">
        <v>15</v>
      </c>
      <c r="F62" s="23">
        <v>610.0</v>
      </c>
      <c r="G62" s="23"/>
      <c r="H62" s="24"/>
      <c r="I62" s="24"/>
      <c r="J62" s="24"/>
      <c r="K62" s="24"/>
      <c r="L62" s="30"/>
      <c r="M62" s="24"/>
      <c r="N62" s="24"/>
      <c r="O62" s="26"/>
      <c r="P62" s="24"/>
      <c r="Q62" s="24"/>
      <c r="R62" s="24"/>
      <c r="S62" s="24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E63" s="23" t="s">
        <v>15</v>
      </c>
      <c r="F63" s="23">
        <v>620.0</v>
      </c>
      <c r="G63" s="23"/>
      <c r="H63" s="24"/>
      <c r="I63" s="24"/>
      <c r="J63" s="24"/>
      <c r="K63" s="24"/>
      <c r="L63" s="24"/>
      <c r="M63" s="24"/>
      <c r="N63" s="24"/>
      <c r="O63" s="26"/>
      <c r="P63" s="24"/>
      <c r="Q63" s="24"/>
      <c r="R63" s="24"/>
      <c r="S63" s="28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E64" s="23" t="s">
        <v>15</v>
      </c>
      <c r="F64" s="23">
        <v>630.0</v>
      </c>
      <c r="G64" s="23"/>
      <c r="H64" s="24"/>
      <c r="I64" s="24"/>
      <c r="J64" s="24"/>
      <c r="K64" s="24"/>
      <c r="L64" s="24"/>
      <c r="M64" s="24"/>
      <c r="N64" s="24"/>
      <c r="O64" s="26"/>
      <c r="P64" s="24"/>
      <c r="Q64" s="24"/>
      <c r="R64" s="24"/>
      <c r="S64" s="28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E65" s="23" t="s">
        <v>15</v>
      </c>
      <c r="F65" s="23">
        <v>640.0</v>
      </c>
      <c r="G65" s="23"/>
      <c r="H65" s="24"/>
      <c r="I65" s="24"/>
      <c r="J65" s="24"/>
      <c r="K65" s="24"/>
      <c r="L65" s="24"/>
      <c r="M65" s="24"/>
      <c r="N65" s="24"/>
      <c r="O65" s="26"/>
      <c r="P65" s="24"/>
      <c r="Q65" s="24"/>
      <c r="R65" s="24"/>
      <c r="S65" s="28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E66" s="23" t="s">
        <v>15</v>
      </c>
      <c r="F66" s="23">
        <v>650.0</v>
      </c>
      <c r="G66" s="23"/>
      <c r="H66" s="24"/>
      <c r="I66" s="24"/>
      <c r="J66" s="24"/>
      <c r="K66" s="24"/>
      <c r="L66" s="24"/>
      <c r="M66" s="24"/>
      <c r="N66" s="24"/>
      <c r="O66" s="26"/>
      <c r="P66" s="24"/>
      <c r="Q66" s="24"/>
      <c r="R66" s="24"/>
      <c r="S66" s="28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E67" s="23" t="s">
        <v>15</v>
      </c>
      <c r="F67" s="23">
        <v>660.0</v>
      </c>
      <c r="G67" s="23"/>
      <c r="H67" s="24"/>
      <c r="I67" s="24"/>
      <c r="J67" s="24"/>
      <c r="K67" s="24"/>
      <c r="L67" s="24"/>
      <c r="M67" s="24"/>
      <c r="N67" s="24"/>
      <c r="O67" s="26"/>
      <c r="P67" s="24"/>
      <c r="Q67" s="24"/>
      <c r="R67" s="24"/>
      <c r="S67" s="28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E68" s="23" t="s">
        <v>15</v>
      </c>
      <c r="F68" s="23">
        <v>670.0</v>
      </c>
      <c r="G68" s="23"/>
      <c r="H68" s="24"/>
      <c r="I68" s="24"/>
      <c r="J68" s="24"/>
      <c r="K68" s="24"/>
      <c r="L68" s="24"/>
      <c r="M68" s="24"/>
      <c r="N68" s="24"/>
      <c r="O68" s="26"/>
      <c r="P68" s="24"/>
      <c r="Q68" s="24"/>
      <c r="R68" s="24"/>
      <c r="S68" s="28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E69" s="23" t="s">
        <v>15</v>
      </c>
      <c r="F69" s="23">
        <v>680.0</v>
      </c>
      <c r="G69" s="23"/>
      <c r="H69" s="24"/>
      <c r="I69" s="24"/>
      <c r="J69" s="24"/>
      <c r="K69" s="24"/>
      <c r="L69" s="24"/>
      <c r="M69" s="24"/>
      <c r="N69" s="24"/>
      <c r="O69" s="26"/>
      <c r="P69" s="24"/>
      <c r="Q69" s="24"/>
      <c r="R69" s="24"/>
      <c r="S69" s="28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E70" s="23" t="s">
        <v>15</v>
      </c>
      <c r="F70" s="23">
        <v>690.0</v>
      </c>
      <c r="G70" s="23"/>
      <c r="H70" s="24"/>
      <c r="I70" s="24"/>
      <c r="J70" s="24"/>
      <c r="K70" s="24"/>
      <c r="L70" s="24"/>
      <c r="M70" s="24"/>
      <c r="N70" s="24"/>
      <c r="O70" s="26"/>
      <c r="P70" s="24"/>
      <c r="Q70" s="24"/>
      <c r="R70" s="24"/>
      <c r="S70" s="28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E71" s="23" t="s">
        <v>15</v>
      </c>
      <c r="F71" s="23">
        <v>700.0</v>
      </c>
      <c r="G71" s="23"/>
      <c r="H71" s="24"/>
      <c r="I71" s="24"/>
      <c r="J71" s="24"/>
      <c r="K71" s="24"/>
      <c r="L71" s="24"/>
      <c r="M71" s="24"/>
      <c r="N71" s="24"/>
      <c r="O71" s="26"/>
      <c r="P71" s="24"/>
      <c r="Q71" s="24"/>
      <c r="R71" s="24"/>
      <c r="S71" s="28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E72" s="23" t="s">
        <v>15</v>
      </c>
      <c r="F72" s="23">
        <v>710.0</v>
      </c>
      <c r="G72" s="23"/>
      <c r="H72" s="24"/>
      <c r="I72" s="24"/>
      <c r="J72" s="24"/>
      <c r="K72" s="24"/>
      <c r="L72" s="24"/>
      <c r="M72" s="24"/>
      <c r="N72" s="24"/>
      <c r="O72" s="26"/>
      <c r="P72" s="24"/>
      <c r="Q72" s="24"/>
      <c r="R72" s="24"/>
      <c r="S72" s="28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E73" s="23" t="s">
        <v>15</v>
      </c>
      <c r="F73" s="23">
        <v>720.0</v>
      </c>
      <c r="G73" s="23"/>
      <c r="H73" s="24"/>
      <c r="I73" s="24"/>
      <c r="J73" s="24"/>
      <c r="K73" s="24"/>
      <c r="L73" s="24"/>
      <c r="M73" s="24"/>
      <c r="N73" s="24"/>
      <c r="O73" s="26"/>
      <c r="P73" s="24"/>
      <c r="Q73" s="24"/>
      <c r="R73" s="24"/>
      <c r="S73" s="28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E74" s="23" t="s">
        <v>15</v>
      </c>
      <c r="F74" s="23">
        <v>730.0</v>
      </c>
      <c r="G74" s="23"/>
      <c r="H74" s="24"/>
      <c r="I74" s="24"/>
      <c r="J74" s="24"/>
      <c r="K74" s="24"/>
      <c r="L74" s="24"/>
      <c r="M74" s="24"/>
      <c r="N74" s="24"/>
      <c r="O74" s="26"/>
      <c r="P74" s="24"/>
      <c r="Q74" s="24"/>
      <c r="R74" s="24"/>
      <c r="S74" s="28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E75" s="31"/>
      <c r="F75" s="32"/>
      <c r="G75" s="32"/>
      <c r="O75" s="33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E76" s="31"/>
      <c r="F76" s="32"/>
      <c r="G76" s="32"/>
      <c r="O76" s="33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E77" s="31"/>
      <c r="F77" s="32"/>
      <c r="G77" s="32"/>
      <c r="O77" s="33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E78" s="31"/>
      <c r="F78" s="32"/>
      <c r="G78" s="32"/>
      <c r="O78" s="33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E79" s="31"/>
      <c r="F79" s="32"/>
      <c r="G79" s="32"/>
      <c r="O79" s="33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E80" s="31"/>
      <c r="F80" s="32"/>
      <c r="G80" s="32"/>
      <c r="O80" s="33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E81" s="31"/>
      <c r="F81" s="32"/>
      <c r="G81" s="32"/>
      <c r="O81" s="33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E82" s="31"/>
      <c r="F82" s="32"/>
      <c r="G82" s="32"/>
      <c r="O82" s="33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E83" s="31"/>
      <c r="F83" s="32"/>
      <c r="G83" s="32"/>
      <c r="O83" s="33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E84" s="31"/>
      <c r="F84" s="32"/>
      <c r="G84" s="32"/>
      <c r="O84" s="33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E85" s="31"/>
      <c r="F85" s="32"/>
      <c r="G85" s="32"/>
      <c r="H85" s="22"/>
      <c r="I85" s="22"/>
      <c r="J85" s="22"/>
      <c r="K85" s="22"/>
      <c r="L85" s="22"/>
      <c r="M85" s="22"/>
      <c r="N85" s="22"/>
      <c r="O85" s="34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E86" s="31"/>
      <c r="F86" s="32"/>
      <c r="G86" s="32"/>
      <c r="H86" s="22"/>
      <c r="I86" s="22"/>
      <c r="J86" s="22"/>
      <c r="K86" s="22"/>
      <c r="L86" s="22"/>
      <c r="M86" s="22"/>
      <c r="N86" s="22"/>
      <c r="O86" s="34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E87" s="31"/>
      <c r="F87" s="32"/>
      <c r="G87" s="32"/>
      <c r="H87" s="22"/>
      <c r="I87" s="22"/>
      <c r="J87" s="22"/>
      <c r="K87" s="22"/>
      <c r="L87" s="22"/>
      <c r="M87" s="22"/>
      <c r="N87" s="22"/>
      <c r="O87" s="34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E88" s="31"/>
      <c r="F88" s="32"/>
      <c r="G88" s="32"/>
      <c r="H88" s="22"/>
      <c r="I88" s="22"/>
      <c r="J88" s="22"/>
      <c r="K88" s="22"/>
      <c r="L88" s="22"/>
      <c r="M88" s="22"/>
      <c r="N88" s="22"/>
      <c r="O88" s="34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E89" s="31"/>
      <c r="F89" s="32"/>
      <c r="G89" s="32"/>
      <c r="H89" s="22"/>
      <c r="I89" s="22"/>
      <c r="J89" s="22"/>
      <c r="K89" s="22"/>
      <c r="L89" s="22"/>
      <c r="M89" s="22"/>
      <c r="N89" s="22"/>
      <c r="O89" s="34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E90" s="31"/>
      <c r="F90" s="32"/>
      <c r="G90" s="32"/>
      <c r="H90" s="22"/>
      <c r="I90" s="22"/>
      <c r="J90" s="22"/>
      <c r="K90" s="22"/>
      <c r="L90" s="22"/>
      <c r="M90" s="22"/>
      <c r="N90" s="22"/>
      <c r="O90" s="34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E91" s="31"/>
      <c r="F91" s="32"/>
      <c r="G91" s="32"/>
      <c r="H91" s="22"/>
      <c r="I91" s="22"/>
      <c r="J91" s="22"/>
      <c r="K91" s="22"/>
      <c r="L91" s="22"/>
      <c r="M91" s="22"/>
      <c r="N91" s="22"/>
      <c r="O91" s="34"/>
      <c r="P91" s="22"/>
      <c r="Q91" s="22"/>
      <c r="R91" s="22"/>
      <c r="S91" s="22"/>
      <c r="Y91" s="22"/>
      <c r="Z91" s="22"/>
      <c r="AA91" s="22"/>
      <c r="AB91" s="22"/>
      <c r="AC91" s="22"/>
    </row>
    <row r="92">
      <c r="E92" s="31"/>
      <c r="F92" s="32"/>
      <c r="G92" s="32"/>
      <c r="H92" s="22"/>
      <c r="I92" s="22"/>
      <c r="J92" s="22"/>
      <c r="K92" s="22"/>
      <c r="L92" s="22"/>
      <c r="M92" s="22"/>
      <c r="N92" s="22"/>
      <c r="O92" s="34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E93" s="31"/>
      <c r="F93" s="32"/>
      <c r="G93" s="32"/>
      <c r="H93" s="22"/>
      <c r="I93" s="22"/>
      <c r="J93" s="22"/>
      <c r="K93" s="22"/>
      <c r="L93" s="22"/>
      <c r="M93" s="22"/>
      <c r="N93" s="22"/>
      <c r="O93" s="34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E94" s="31"/>
      <c r="F94" s="32"/>
      <c r="G94" s="32"/>
      <c r="H94" s="22"/>
      <c r="I94" s="22"/>
      <c r="J94" s="22"/>
      <c r="K94" s="22"/>
      <c r="L94" s="22"/>
      <c r="M94" s="22"/>
      <c r="N94" s="22"/>
      <c r="O94" s="34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E95" s="31"/>
      <c r="F95" s="32"/>
      <c r="G95" s="32"/>
      <c r="H95" s="22"/>
      <c r="I95" s="22"/>
      <c r="J95" s="22"/>
      <c r="K95" s="22"/>
      <c r="L95" s="22"/>
      <c r="M95" s="22"/>
      <c r="N95" s="22"/>
      <c r="O95" s="34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E96" s="31"/>
      <c r="F96" s="32"/>
      <c r="G96" s="32"/>
      <c r="H96" s="22"/>
      <c r="I96" s="22"/>
      <c r="J96" s="22"/>
      <c r="K96" s="22"/>
      <c r="L96" s="22"/>
      <c r="M96" s="22"/>
      <c r="N96" s="22"/>
      <c r="O96" s="34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E97" s="31"/>
      <c r="F97" s="32"/>
      <c r="G97" s="32"/>
      <c r="H97" s="22"/>
      <c r="I97" s="22"/>
      <c r="J97" s="22"/>
      <c r="K97" s="22"/>
      <c r="L97" s="22"/>
      <c r="M97" s="22"/>
      <c r="N97" s="22"/>
      <c r="O97" s="34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E98" s="31"/>
      <c r="F98" s="32"/>
      <c r="G98" s="32"/>
      <c r="H98" s="22"/>
      <c r="I98" s="22"/>
      <c r="J98" s="22"/>
      <c r="K98" s="22"/>
      <c r="L98" s="22"/>
      <c r="M98" s="22"/>
      <c r="N98" s="22"/>
      <c r="O98" s="34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E99" s="31"/>
      <c r="F99" s="32"/>
      <c r="G99" s="32"/>
      <c r="H99" s="22"/>
      <c r="I99" s="22"/>
      <c r="J99" s="22"/>
      <c r="K99" s="22"/>
      <c r="L99" s="22"/>
      <c r="M99" s="22"/>
      <c r="N99" s="22"/>
      <c r="O99" s="34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E100" s="31"/>
      <c r="F100" s="32"/>
      <c r="G100" s="32"/>
      <c r="H100" s="22"/>
      <c r="I100" s="22"/>
      <c r="J100" s="22"/>
      <c r="K100" s="22"/>
      <c r="L100" s="22"/>
      <c r="M100" s="22"/>
      <c r="N100" s="22"/>
      <c r="O100" s="34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E101" s="31"/>
      <c r="F101" s="32"/>
      <c r="G101" s="32"/>
      <c r="H101" s="22"/>
      <c r="I101" s="22"/>
      <c r="J101" s="22"/>
      <c r="K101" s="22"/>
      <c r="L101" s="22"/>
      <c r="M101" s="22"/>
      <c r="N101" s="22"/>
      <c r="O101" s="34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E102" s="31"/>
      <c r="F102" s="32"/>
      <c r="G102" s="32"/>
      <c r="H102" s="22"/>
      <c r="I102" s="22"/>
      <c r="J102" s="22"/>
      <c r="K102" s="22"/>
      <c r="L102" s="22"/>
      <c r="M102" s="22"/>
      <c r="N102" s="22"/>
      <c r="O102" s="34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E103" s="31"/>
      <c r="F103" s="32"/>
      <c r="G103" s="32"/>
      <c r="H103" s="22"/>
      <c r="I103" s="22"/>
      <c r="J103" s="22"/>
      <c r="K103" s="22"/>
      <c r="L103" s="22"/>
      <c r="M103" s="22"/>
      <c r="N103" s="22"/>
      <c r="O103" s="34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E104" s="31"/>
      <c r="F104" s="32"/>
      <c r="G104" s="32"/>
      <c r="H104" s="22"/>
      <c r="I104" s="22"/>
      <c r="J104" s="22"/>
      <c r="K104" s="22"/>
      <c r="L104" s="22"/>
      <c r="M104" s="22"/>
      <c r="N104" s="22"/>
      <c r="O104" s="34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E105" s="31"/>
      <c r="F105" s="32"/>
      <c r="G105" s="32"/>
      <c r="H105" s="22"/>
      <c r="I105" s="22"/>
      <c r="J105" s="22"/>
      <c r="K105" s="22"/>
      <c r="L105" s="22"/>
      <c r="M105" s="22"/>
      <c r="N105" s="22"/>
      <c r="O105" s="34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E106" s="31"/>
      <c r="F106" s="32"/>
      <c r="G106" s="32"/>
      <c r="H106" s="22"/>
      <c r="I106" s="22"/>
      <c r="J106" s="22"/>
      <c r="K106" s="22"/>
      <c r="L106" s="22"/>
      <c r="M106" s="22"/>
      <c r="N106" s="22"/>
      <c r="O106" s="34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E107" s="31"/>
      <c r="F107" s="32"/>
      <c r="G107" s="32"/>
      <c r="H107" s="22"/>
      <c r="I107" s="22"/>
      <c r="J107" s="22"/>
      <c r="K107" s="22"/>
      <c r="L107" s="22"/>
      <c r="M107" s="22"/>
      <c r="N107" s="22"/>
      <c r="O107" s="34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E108" s="31"/>
      <c r="F108" s="32"/>
      <c r="G108" s="32"/>
      <c r="H108" s="22"/>
      <c r="I108" s="22"/>
      <c r="J108" s="22"/>
      <c r="K108" s="22"/>
      <c r="L108" s="22"/>
      <c r="M108" s="22"/>
      <c r="N108" s="22"/>
      <c r="O108" s="34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E109" s="31"/>
      <c r="F109" s="32"/>
      <c r="G109" s="32"/>
      <c r="H109" s="22"/>
      <c r="I109" s="22"/>
      <c r="J109" s="22"/>
      <c r="K109" s="22"/>
      <c r="L109" s="22"/>
      <c r="M109" s="22"/>
      <c r="N109" s="22"/>
      <c r="O109" s="34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E110" s="31"/>
      <c r="F110" s="32"/>
      <c r="G110" s="32"/>
      <c r="H110" s="22"/>
      <c r="I110" s="22"/>
      <c r="J110" s="22"/>
      <c r="K110" s="22"/>
      <c r="L110" s="22"/>
      <c r="M110" s="22"/>
      <c r="N110" s="22"/>
      <c r="O110" s="34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E111" s="31"/>
      <c r="F111" s="32"/>
      <c r="G111" s="32"/>
      <c r="H111" s="22"/>
      <c r="I111" s="22"/>
      <c r="J111" s="22"/>
      <c r="K111" s="22"/>
      <c r="L111" s="22"/>
      <c r="M111" s="22"/>
      <c r="N111" s="22"/>
      <c r="O111" s="34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E112" s="31"/>
      <c r="F112" s="32"/>
      <c r="G112" s="32"/>
      <c r="H112" s="22"/>
      <c r="I112" s="22"/>
      <c r="J112" s="22"/>
      <c r="K112" s="22"/>
      <c r="L112" s="22"/>
      <c r="M112" s="22"/>
      <c r="N112" s="22"/>
      <c r="O112" s="34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E113" s="31"/>
      <c r="F113" s="32"/>
      <c r="G113" s="32"/>
      <c r="H113" s="22"/>
      <c r="I113" s="22"/>
      <c r="J113" s="22"/>
      <c r="K113" s="22"/>
      <c r="L113" s="22"/>
      <c r="M113" s="22"/>
      <c r="N113" s="22"/>
      <c r="O113" s="34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E114" s="31"/>
      <c r="F114" s="32"/>
      <c r="G114" s="32"/>
      <c r="H114" s="22"/>
      <c r="I114" s="22"/>
      <c r="J114" s="22"/>
      <c r="K114" s="22"/>
      <c r="L114" s="22"/>
      <c r="M114" s="22"/>
      <c r="N114" s="22"/>
      <c r="O114" s="34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E115" s="31"/>
      <c r="F115" s="32"/>
      <c r="G115" s="32"/>
      <c r="H115" s="22"/>
      <c r="I115" s="22"/>
      <c r="J115" s="22"/>
      <c r="K115" s="22"/>
      <c r="L115" s="22"/>
      <c r="M115" s="22"/>
      <c r="N115" s="22"/>
      <c r="O115" s="34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E116" s="31"/>
      <c r="F116" s="32"/>
      <c r="G116" s="32"/>
      <c r="H116" s="22"/>
      <c r="I116" s="22"/>
      <c r="J116" s="22"/>
      <c r="K116" s="22"/>
      <c r="L116" s="22"/>
      <c r="M116" s="22"/>
      <c r="N116" s="22"/>
      <c r="O116" s="34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E117" s="31"/>
      <c r="F117" s="32"/>
      <c r="G117" s="32"/>
      <c r="H117" s="22"/>
      <c r="I117" s="22"/>
      <c r="J117" s="22"/>
      <c r="K117" s="22"/>
      <c r="L117" s="22"/>
      <c r="M117" s="22"/>
      <c r="N117" s="22"/>
      <c r="O117" s="34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E118" s="31"/>
      <c r="F118" s="32"/>
      <c r="G118" s="32"/>
      <c r="H118" s="22"/>
      <c r="I118" s="22"/>
      <c r="J118" s="22"/>
      <c r="K118" s="22"/>
      <c r="L118" s="22"/>
      <c r="M118" s="22"/>
      <c r="N118" s="22"/>
      <c r="O118" s="34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E119" s="31"/>
      <c r="F119" s="32"/>
      <c r="G119" s="32"/>
      <c r="H119" s="22"/>
      <c r="I119" s="22"/>
      <c r="J119" s="22"/>
      <c r="K119" s="22"/>
      <c r="L119" s="22"/>
      <c r="M119" s="22"/>
      <c r="N119" s="22"/>
      <c r="O119" s="34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E120" s="31"/>
      <c r="F120" s="32"/>
      <c r="G120" s="32"/>
      <c r="H120" s="22"/>
      <c r="I120" s="22"/>
      <c r="J120" s="22"/>
      <c r="K120" s="22"/>
      <c r="L120" s="22"/>
      <c r="M120" s="22"/>
      <c r="N120" s="22"/>
      <c r="O120" s="34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E121" s="31"/>
      <c r="F121" s="32"/>
      <c r="G121" s="32"/>
      <c r="H121" s="22"/>
      <c r="I121" s="22"/>
      <c r="J121" s="22"/>
      <c r="K121" s="22"/>
      <c r="L121" s="22"/>
      <c r="M121" s="22"/>
      <c r="N121" s="22"/>
      <c r="O121" s="34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E122" s="31"/>
      <c r="F122" s="32"/>
      <c r="G122" s="32"/>
      <c r="O122" s="33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E123" s="31"/>
      <c r="F123" s="32"/>
      <c r="G123" s="32"/>
      <c r="O123" s="33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E124" s="31"/>
      <c r="F124" s="32"/>
      <c r="G124" s="32"/>
      <c r="O124" s="33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E125" s="22"/>
      <c r="F125" s="22"/>
      <c r="G125" s="22"/>
      <c r="O125" s="33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E126" s="22"/>
      <c r="F126" s="22"/>
      <c r="G126" s="22"/>
      <c r="O126" s="33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E127" s="22"/>
      <c r="F127" s="22"/>
      <c r="G127" s="22"/>
      <c r="O127" s="33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E128" s="22"/>
      <c r="F128" s="22"/>
      <c r="G128" s="22"/>
      <c r="O128" s="33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E129" s="22"/>
      <c r="F129" s="22"/>
      <c r="G129" s="22"/>
      <c r="O129" s="33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E130" s="22"/>
      <c r="F130" s="22"/>
      <c r="G130" s="22"/>
      <c r="O130" s="33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E131" s="22"/>
      <c r="F131" s="22"/>
      <c r="G131" s="22"/>
      <c r="O131" s="33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E132" s="22"/>
      <c r="F132" s="22"/>
      <c r="G132" s="22"/>
      <c r="O132" s="33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E133" s="22"/>
      <c r="F133" s="22"/>
      <c r="G133" s="22"/>
      <c r="O133" s="33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E134" s="22"/>
      <c r="F134" s="22"/>
      <c r="G134" s="22"/>
      <c r="O134" s="33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E135" s="22"/>
      <c r="F135" s="22"/>
      <c r="G135" s="22"/>
      <c r="O135" s="33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E136" s="22"/>
      <c r="F136" s="22"/>
      <c r="G136" s="22"/>
      <c r="O136" s="33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E137" s="22"/>
      <c r="F137" s="22"/>
      <c r="G137" s="22"/>
      <c r="O137" s="33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E138" s="22"/>
      <c r="F138" s="22"/>
      <c r="G138" s="22"/>
      <c r="O138" s="33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E139" s="22"/>
      <c r="F139" s="22"/>
      <c r="G139" s="22"/>
      <c r="O139" s="33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E140" s="22"/>
      <c r="F140" s="22"/>
      <c r="G140" s="22"/>
      <c r="O140" s="33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E141" s="22"/>
      <c r="F141" s="22"/>
      <c r="G141" s="22"/>
      <c r="O141" s="33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E142" s="22"/>
      <c r="F142" s="22"/>
      <c r="G142" s="22"/>
      <c r="O142" s="33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E143" s="22"/>
      <c r="F143" s="22"/>
      <c r="G143" s="22"/>
      <c r="O143" s="33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E144" s="22"/>
      <c r="F144" s="22"/>
      <c r="G144" s="22"/>
      <c r="O144" s="33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E145" s="22"/>
      <c r="F145" s="22"/>
      <c r="G145" s="22"/>
      <c r="O145" s="33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E146" s="22"/>
      <c r="F146" s="22"/>
      <c r="G146" s="22"/>
      <c r="O146" s="33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E147" s="22"/>
      <c r="F147" s="22"/>
      <c r="G147" s="22"/>
      <c r="O147" s="33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E148" s="22"/>
      <c r="F148" s="22"/>
      <c r="G148" s="22"/>
      <c r="O148" s="33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E149" s="22"/>
      <c r="F149" s="22"/>
      <c r="G149" s="22"/>
      <c r="O149" s="33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E150" s="22"/>
      <c r="F150" s="22"/>
      <c r="G150" s="22"/>
      <c r="O150" s="33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E151" s="22"/>
      <c r="F151" s="22"/>
      <c r="G151" s="22"/>
      <c r="O151" s="33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E152" s="22"/>
      <c r="F152" s="22"/>
      <c r="G152" s="22"/>
      <c r="O152" s="33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E153" s="22"/>
      <c r="F153" s="22"/>
      <c r="G153" s="22"/>
      <c r="O153" s="33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E154" s="22"/>
      <c r="F154" s="22"/>
      <c r="G154" s="22"/>
      <c r="O154" s="33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E155" s="22"/>
      <c r="F155" s="22"/>
      <c r="G155" s="22"/>
      <c r="O155" s="33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E156" s="22"/>
      <c r="F156" s="22"/>
      <c r="G156" s="22"/>
      <c r="O156" s="33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E157" s="22"/>
      <c r="F157" s="22"/>
      <c r="G157" s="22"/>
      <c r="O157" s="33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E158" s="22"/>
      <c r="F158" s="22"/>
      <c r="G158" s="22"/>
      <c r="O158" s="33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E159" s="22"/>
      <c r="F159" s="22"/>
      <c r="G159" s="22"/>
      <c r="O159" s="33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E160" s="22"/>
      <c r="F160" s="22"/>
      <c r="G160" s="22"/>
      <c r="O160" s="33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E161" s="22"/>
      <c r="F161" s="22"/>
      <c r="G161" s="22"/>
      <c r="O161" s="33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E162" s="22"/>
      <c r="F162" s="22"/>
      <c r="G162" s="22"/>
      <c r="O162" s="33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E163" s="22"/>
      <c r="F163" s="22"/>
      <c r="G163" s="22"/>
      <c r="O163" s="33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E164" s="22"/>
      <c r="F164" s="22"/>
      <c r="G164" s="22"/>
      <c r="O164" s="33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E165" s="22"/>
      <c r="F165" s="22"/>
      <c r="G165" s="22"/>
      <c r="O165" s="33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E166" s="22"/>
      <c r="F166" s="22"/>
      <c r="G166" s="22"/>
      <c r="O166" s="33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E167" s="22"/>
      <c r="F167" s="22"/>
      <c r="G167" s="22"/>
      <c r="O167" s="33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E168" s="22"/>
      <c r="F168" s="22"/>
      <c r="G168" s="22"/>
      <c r="O168" s="33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E169" s="22"/>
      <c r="F169" s="22"/>
      <c r="G169" s="22"/>
      <c r="O169" s="33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E170" s="22"/>
      <c r="F170" s="22"/>
      <c r="G170" s="22"/>
      <c r="O170" s="33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34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34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34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ht="42.0" customHeight="1"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34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34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34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34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34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34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34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34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ht="48.0" customHeight="1"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34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34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34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ht="46.5" customHeight="1"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34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ht="34.5" customHeight="1"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34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ht="45.0" customHeight="1"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34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ht="46.5" customHeight="1"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34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ht="45.0" customHeight="1"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34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ht="43.5" customHeight="1"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4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ht="37.5" customHeight="1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4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ht="36.0" customHeight="1"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34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ht="43.5" customHeight="1"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34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ht="39.0" customHeight="1"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34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34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ht="39.0" customHeight="1"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34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ht="42.0" customHeight="1"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4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4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4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4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ht="42.0" customHeight="1"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4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ht="42.0" customHeight="1"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4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ht="36.0" customHeight="1"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4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ht="37.5" customHeight="1"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4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ht="48.0" customHeight="1"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4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ht="37.5" customHeight="1"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34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34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34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34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ht="58.5" customHeight="1"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4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4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4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4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4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4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4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4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4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4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4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34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34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34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34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34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34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34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4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4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4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34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34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34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34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34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34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34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34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34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34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4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4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4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4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4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4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4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4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4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4"/>
      <c r="P250" s="22"/>
      <c r="Q250" s="22"/>
      <c r="R250" s="22"/>
      <c r="S250" s="22"/>
      <c r="T250" s="35"/>
      <c r="U250" s="1"/>
      <c r="V250" s="36"/>
      <c r="W250" s="37"/>
      <c r="X250" s="37"/>
      <c r="Y250" s="22"/>
      <c r="Z250" s="22"/>
      <c r="AA250" s="22"/>
      <c r="AB250" s="22"/>
      <c r="AC250" s="22"/>
    </row>
    <row r="251"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4"/>
      <c r="P251" s="22"/>
      <c r="Q251" s="22"/>
      <c r="R251" s="22"/>
      <c r="S251" s="22"/>
      <c r="T251" s="35"/>
      <c r="U251" s="1"/>
      <c r="V251" s="36"/>
      <c r="W251" s="37"/>
      <c r="X251" s="37"/>
      <c r="Y251" s="22"/>
      <c r="Z251" s="22"/>
      <c r="AA251" s="22"/>
      <c r="AB251" s="22"/>
      <c r="AC251" s="22"/>
    </row>
    <row r="252"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34"/>
      <c r="P252" s="22"/>
      <c r="Q252" s="22"/>
      <c r="R252" s="22"/>
      <c r="S252" s="22"/>
      <c r="T252" s="35"/>
      <c r="U252" s="1"/>
      <c r="V252" s="36"/>
      <c r="W252" s="37"/>
      <c r="X252" s="37"/>
      <c r="Y252" s="22"/>
      <c r="Z252" s="22"/>
      <c r="AA252" s="22"/>
      <c r="AB252" s="22"/>
      <c r="AC252" s="22"/>
    </row>
    <row r="253"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4"/>
      <c r="P253" s="22"/>
      <c r="Q253" s="22"/>
      <c r="R253" s="22"/>
      <c r="S253" s="22"/>
      <c r="T253" s="35"/>
      <c r="U253" s="1"/>
      <c r="V253" s="36"/>
      <c r="W253" s="37"/>
      <c r="X253" s="37"/>
      <c r="Y253" s="22"/>
      <c r="Z253" s="22"/>
      <c r="AA253" s="22"/>
      <c r="AB253" s="22"/>
      <c r="AC253" s="22"/>
    </row>
    <row r="254"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34"/>
      <c r="P254" s="22"/>
      <c r="Q254" s="22"/>
      <c r="R254" s="22"/>
      <c r="S254" s="22"/>
      <c r="T254" s="35"/>
      <c r="U254" s="1"/>
      <c r="V254" s="36"/>
      <c r="W254" s="37"/>
      <c r="X254" s="37"/>
      <c r="Y254" s="22"/>
      <c r="Z254" s="22"/>
      <c r="AA254" s="22"/>
      <c r="AB254" s="22"/>
      <c r="AC254" s="22"/>
    </row>
    <row r="255"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34"/>
      <c r="P255" s="22"/>
      <c r="Q255" s="22"/>
      <c r="R255" s="22"/>
      <c r="S255" s="22"/>
      <c r="T255" s="35"/>
      <c r="U255" s="1"/>
      <c r="V255" s="36"/>
      <c r="W255" s="37"/>
      <c r="X255" s="37"/>
      <c r="Y255" s="22"/>
      <c r="Z255" s="22"/>
      <c r="AA255" s="22"/>
      <c r="AB255" s="22"/>
      <c r="AC255" s="22"/>
    </row>
    <row r="256"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4"/>
      <c r="P256" s="22"/>
      <c r="Q256" s="22"/>
      <c r="R256" s="22"/>
      <c r="S256" s="22"/>
      <c r="T256" s="35"/>
      <c r="U256" s="1"/>
      <c r="V256" s="36"/>
      <c r="W256" s="37"/>
      <c r="X256" s="37"/>
      <c r="Y256" s="22"/>
      <c r="Z256" s="22"/>
      <c r="AA256" s="22"/>
      <c r="AB256" s="22"/>
      <c r="AC256" s="22"/>
    </row>
    <row r="257"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4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4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4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4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4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4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4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4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4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4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34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4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4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4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4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4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4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4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4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4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4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4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34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4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4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4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4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4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4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4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4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4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4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4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34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34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34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34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34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34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34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34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34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34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34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34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34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34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34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34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34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34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34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34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34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34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34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34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34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34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34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34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34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34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34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34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34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34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34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34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34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34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34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34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34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34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34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34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34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34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34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34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34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34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34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34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34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34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34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34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34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34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34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34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34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34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34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34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34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34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34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34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34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34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34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34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34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34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34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34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34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34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34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34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34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34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34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34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34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34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34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34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34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34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34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34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34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34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34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34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34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34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34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34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34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34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34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34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34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34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34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34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34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34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34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34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34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34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34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34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34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34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34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34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34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34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34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34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34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34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34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34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ht="15.75" customHeight="1"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34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ht="15.75" customHeight="1"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34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ht="15.75" customHeight="1"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34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ht="15.75" customHeight="1"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34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ht="15.75" customHeight="1"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34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34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34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34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34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ht="15.75" customHeight="1"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34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ht="15.75" customHeight="1"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34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ht="15.75" customHeight="1"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34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ht="15.75" customHeight="1"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34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ht="15.75" customHeight="1"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34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ht="15.75" customHeight="1"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34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ht="15.75" customHeight="1"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34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ht="15.75" customHeight="1"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34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ht="15.75" customHeight="1"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34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34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ht="15.75" customHeight="1"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34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ht="15.75" customHeight="1"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34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34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34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34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34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34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34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34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34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34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34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ht="15.75" customHeight="1"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34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ht="15.75" customHeight="1"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34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ht="15.75" customHeight="1"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34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ht="15.75" customHeight="1"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34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ht="15.75" customHeight="1"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34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ht="15.75" customHeight="1"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34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ht="15.75" customHeight="1"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34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ht="15.75" customHeight="1"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34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ht="15.75" customHeight="1"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34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ht="15.75" customHeight="1"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34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ht="15.75" customHeight="1"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34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ht="15.75" customHeight="1"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34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ht="15.75" customHeight="1"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34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ht="15.75" customHeight="1"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34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ht="15.75" customHeight="1"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34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ht="15.75" customHeight="1"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34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ht="15.75" customHeight="1"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34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ht="15.75" customHeight="1"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34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ht="15.75" customHeight="1"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34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ht="15.75" customHeight="1"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34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ht="15.75" customHeight="1"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34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ht="15.75" customHeight="1"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34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ht="15.75" customHeight="1"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34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ht="15.75" customHeight="1"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34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ht="15.75" customHeight="1"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34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ht="15.75" customHeight="1"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34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ht="15.75" customHeight="1"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34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ht="15.75" customHeight="1"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34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ht="15.75" customHeight="1"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34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ht="15.75" customHeight="1"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34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ht="15.75" customHeight="1"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34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ht="15.75" customHeight="1"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34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ht="15.75" customHeight="1"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34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ht="15.75" customHeight="1"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34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ht="15.75" customHeight="1"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34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ht="15.75" customHeight="1"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34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ht="15.75" customHeight="1"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34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ht="15.75" customHeight="1"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34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ht="15.75" customHeight="1"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34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ht="15.75" customHeight="1"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34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ht="15.75" customHeight="1"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34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ht="15.75" customHeight="1"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34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ht="15.75" customHeight="1"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34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ht="15.75" customHeight="1"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34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ht="15.75" customHeight="1"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34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ht="15.75" customHeight="1"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34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ht="15.75" customHeight="1"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34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ht="15.75" customHeight="1"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34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ht="15.75" customHeight="1"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34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ht="15.75" customHeight="1"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34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ht="15.75" customHeight="1"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34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ht="15.75" customHeight="1"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34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ht="15.75" customHeight="1"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34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ht="15.75" customHeight="1"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34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ht="15.75" customHeight="1"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34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ht="15.75" customHeight="1"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34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ht="15.75" customHeight="1"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34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ht="15.75" customHeight="1"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34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ht="15.75" customHeight="1"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34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ht="15.75" customHeight="1"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34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ht="15.75" customHeight="1"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34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ht="15.75" customHeight="1"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34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ht="15.75" customHeight="1"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34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ht="15.75" customHeight="1"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34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ht="15.75" customHeight="1"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34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ht="15.75" customHeight="1"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34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ht="15.75" customHeight="1"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34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ht="15.75" customHeight="1"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34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ht="15.75" customHeight="1"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34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ht="15.75" customHeight="1"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34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ht="15.75" customHeight="1"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34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ht="15.75" customHeight="1"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34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ht="15.75" customHeight="1"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34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ht="15.75" customHeight="1"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34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ht="15.75" customHeight="1"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34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ht="15.75" customHeight="1"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34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ht="15.75" customHeight="1"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34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ht="15.75" customHeight="1"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34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ht="15.75" customHeight="1"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34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ht="15.75" customHeight="1"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34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ht="15.75" customHeight="1"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34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ht="15.75" customHeight="1"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34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ht="15.75" customHeight="1"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34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ht="15.75" customHeight="1"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34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ht="15.75" customHeight="1"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34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ht="15.75" customHeight="1"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34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ht="15.75" customHeight="1"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34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ht="15.75" customHeight="1"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34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ht="15.75" customHeight="1"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34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ht="15.75" customHeight="1"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34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ht="15.75" customHeight="1"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34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ht="15.75" customHeight="1"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34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ht="15.75" customHeight="1"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34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ht="15.75" customHeight="1"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34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ht="15.75" customHeight="1"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34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ht="15.75" customHeight="1"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34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ht="15.75" customHeight="1"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34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ht="15.75" customHeight="1"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34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ht="15.75" customHeight="1"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34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ht="15.75" customHeight="1"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34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ht="15.75" customHeight="1"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34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ht="15.75" customHeight="1"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34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ht="15.75" customHeight="1"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34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ht="15.75" customHeight="1"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34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ht="15.75" customHeight="1"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34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ht="15.75" customHeight="1"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34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ht="15.75" customHeight="1"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34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ht="15.75" customHeight="1"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34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ht="15.75" customHeight="1"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34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ht="15.75" customHeight="1"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34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ht="15.75" customHeight="1"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34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ht="15.75" customHeight="1"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34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ht="15.75" customHeight="1"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34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ht="15.75" customHeight="1"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34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ht="15.75" customHeight="1"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34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ht="15.75" customHeight="1"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34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ht="15.75" customHeight="1"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34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ht="15.75" customHeight="1"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34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ht="15.75" customHeight="1"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34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ht="15.75" customHeight="1"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34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ht="15.75" customHeight="1"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34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ht="15.75" customHeight="1"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34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ht="15.75" customHeight="1"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34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ht="15.75" customHeight="1"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34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ht="15.75" customHeight="1"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34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ht="15.75" customHeight="1"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34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ht="15.75" customHeight="1"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34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ht="15.75" customHeight="1"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34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ht="15.75" customHeight="1"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34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ht="15.75" customHeight="1"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34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ht="15.75" customHeight="1"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34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ht="15.75" customHeight="1"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34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ht="15.75" customHeight="1"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34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ht="15.75" customHeight="1"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34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ht="15.75" customHeight="1"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34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ht="15.75" customHeight="1"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34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ht="15.75" customHeight="1"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34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ht="15.75" customHeight="1"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34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ht="15.75" customHeight="1"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34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ht="15.75" customHeight="1"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34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ht="15.75" customHeight="1"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34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ht="15.75" customHeight="1"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34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ht="15.75" customHeight="1"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34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ht="15.75" customHeight="1"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34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ht="15.75" customHeight="1"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34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ht="15.75" customHeight="1"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34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ht="15.75" customHeight="1"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34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ht="15.75" customHeight="1"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34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ht="15.75" customHeight="1"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34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ht="15.75" customHeight="1"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34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ht="15.75" customHeight="1"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34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ht="15.75" customHeight="1"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34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ht="15.75" customHeight="1"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34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ht="15.75" customHeight="1"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34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ht="15.75" customHeight="1"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34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ht="15.75" customHeight="1"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34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ht="15.75" customHeight="1"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34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ht="15.75" customHeight="1"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34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ht="15.75" customHeight="1"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34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ht="15.75" customHeight="1"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34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ht="15.75" customHeight="1"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34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ht="15.75" customHeight="1"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34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ht="15.75" customHeight="1"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34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ht="15.75" customHeight="1"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34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ht="15.75" customHeight="1"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34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ht="15.75" customHeight="1">
      <c r="O615" s="33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ht="15.75" customHeight="1">
      <c r="O616" s="33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ht="15.75" customHeight="1">
      <c r="O617" s="33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ht="15.75" customHeight="1">
      <c r="O618" s="33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ht="15.75" customHeight="1">
      <c r="O619" s="33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ht="15.75" customHeight="1">
      <c r="O620" s="33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ht="15.75" customHeight="1">
      <c r="O621" s="33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ht="15.75" customHeight="1">
      <c r="O622" s="33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ht="15.75" customHeight="1">
      <c r="O623" s="33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ht="15.75" customHeight="1">
      <c r="O624" s="33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ht="15.75" customHeight="1">
      <c r="O625" s="33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ht="15.75" customHeight="1">
      <c r="O626" s="33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ht="15.75" customHeight="1">
      <c r="O627" s="33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ht="15.75" customHeight="1">
      <c r="O628" s="33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ht="15.75" customHeight="1">
      <c r="O629" s="33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ht="15.75" customHeight="1">
      <c r="O630" s="33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ht="15.75" customHeight="1">
      <c r="O631" s="33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ht="15.75" customHeight="1">
      <c r="O632" s="33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ht="15.75" customHeight="1">
      <c r="O633" s="33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ht="15.75" customHeight="1">
      <c r="O634" s="33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ht="15.75" customHeight="1">
      <c r="O635" s="33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ht="15.75" customHeight="1">
      <c r="O636" s="33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ht="15.75" customHeight="1">
      <c r="O637" s="33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ht="15.75" customHeight="1">
      <c r="O638" s="33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ht="15.75" customHeight="1">
      <c r="O639" s="33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ht="15.75" customHeight="1">
      <c r="O640" s="33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ht="15.75" customHeight="1">
      <c r="O641" s="33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ht="15.75" customHeight="1">
      <c r="O642" s="33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ht="15.75" customHeight="1">
      <c r="O643" s="33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ht="15.75" customHeight="1">
      <c r="O644" s="33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ht="15.75" customHeight="1">
      <c r="O645" s="33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ht="15.75" customHeight="1">
      <c r="O646" s="33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ht="15.75" customHeight="1">
      <c r="O647" s="33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ht="15.75" customHeight="1">
      <c r="O648" s="33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ht="15.75" customHeight="1">
      <c r="O649" s="33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ht="15.75" customHeight="1">
      <c r="O650" s="33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ht="15.75" customHeight="1">
      <c r="O651" s="33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ht="15.75" customHeight="1">
      <c r="O652" s="33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ht="15.75" customHeight="1">
      <c r="O653" s="33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ht="15.75" customHeight="1">
      <c r="O654" s="33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ht="15.75" customHeight="1">
      <c r="O655" s="33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ht="15.75" customHeight="1">
      <c r="O656" s="33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ht="15.75" customHeight="1">
      <c r="O657" s="33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ht="15.75" customHeight="1">
      <c r="O658" s="33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ht="15.75" customHeight="1">
      <c r="O659" s="33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ht="15.75" customHeight="1">
      <c r="O660" s="33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ht="15.75" customHeight="1">
      <c r="O661" s="33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ht="15.75" customHeight="1">
      <c r="O662" s="33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ht="15.75" customHeight="1">
      <c r="O663" s="33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ht="15.75" customHeight="1">
      <c r="O664" s="33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ht="15.75" customHeight="1">
      <c r="O665" s="33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ht="15.75" customHeight="1">
      <c r="O666" s="33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ht="15.75" customHeight="1">
      <c r="O667" s="33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ht="15.75" customHeight="1">
      <c r="O668" s="33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ht="15.75" customHeight="1">
      <c r="O669" s="33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ht="15.75" customHeight="1">
      <c r="O670" s="33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ht="15.75" customHeight="1">
      <c r="O671" s="33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ht="15.75" customHeight="1">
      <c r="O672" s="33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ht="15.75" customHeight="1">
      <c r="O673" s="33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ht="15.75" customHeight="1">
      <c r="O674" s="33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ht="15.75" customHeight="1">
      <c r="O675" s="33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ht="15.75" customHeight="1">
      <c r="O676" s="33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ht="15.75" customHeight="1">
      <c r="O677" s="33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ht="15.75" customHeight="1">
      <c r="O678" s="33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ht="15.75" customHeight="1">
      <c r="O679" s="33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ht="15.75" customHeight="1">
      <c r="O680" s="33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ht="15.75" customHeight="1">
      <c r="O681" s="33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ht="15.75" customHeight="1">
      <c r="O682" s="33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ht="15.75" customHeight="1">
      <c r="O683" s="33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ht="15.75" customHeight="1">
      <c r="O684" s="33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ht="15.75" customHeight="1">
      <c r="O685" s="33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ht="15.75" customHeight="1">
      <c r="O686" s="33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ht="15.75" customHeight="1">
      <c r="O687" s="33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ht="15.75" customHeight="1">
      <c r="O688" s="33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ht="15.75" customHeight="1">
      <c r="O689" s="33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ht="15.75" customHeight="1">
      <c r="O690" s="33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ht="15.75" customHeight="1">
      <c r="O691" s="33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ht="15.75" customHeight="1">
      <c r="O692" s="33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ht="15.75" customHeight="1">
      <c r="O693" s="33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ht="15.75" customHeight="1">
      <c r="O694" s="33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ht="15.75" customHeight="1">
      <c r="O695" s="33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ht="15.75" customHeight="1">
      <c r="O696" s="33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ht="15.75" customHeight="1">
      <c r="O697" s="33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ht="15.75" customHeight="1">
      <c r="O698" s="33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ht="15.75" customHeight="1">
      <c r="O699" s="33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ht="15.75" customHeight="1">
      <c r="O700" s="33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ht="15.75" customHeight="1">
      <c r="O701" s="33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ht="15.75" customHeight="1">
      <c r="O702" s="33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ht="15.75" customHeight="1">
      <c r="O703" s="33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ht="15.75" customHeight="1">
      <c r="O704" s="33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ht="15.75" customHeight="1">
      <c r="O705" s="33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ht="15.75" customHeight="1">
      <c r="O706" s="33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ht="15.75" customHeight="1">
      <c r="O707" s="33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ht="15.75" customHeight="1">
      <c r="O708" s="33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ht="15.75" customHeight="1">
      <c r="O709" s="33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ht="15.75" customHeight="1">
      <c r="O710" s="33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ht="15.75" customHeight="1">
      <c r="O711" s="33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ht="15.75" customHeight="1">
      <c r="O712" s="33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ht="15.75" customHeight="1">
      <c r="O713" s="33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ht="15.75" customHeight="1">
      <c r="O714" s="33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ht="15.75" customHeight="1">
      <c r="O715" s="33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ht="15.75" customHeight="1">
      <c r="O716" s="33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ht="15.75" customHeight="1">
      <c r="O717" s="33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ht="15.75" customHeight="1">
      <c r="O718" s="33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ht="15.75" customHeight="1">
      <c r="O719" s="33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ht="15.75" customHeight="1">
      <c r="O720" s="33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ht="15.75" customHeight="1">
      <c r="O721" s="33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ht="15.75" customHeight="1">
      <c r="O722" s="33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ht="15.75" customHeight="1">
      <c r="O723" s="33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ht="15.75" customHeight="1">
      <c r="O724" s="33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ht="15.75" customHeight="1">
      <c r="O725" s="33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ht="15.75" customHeight="1">
      <c r="O726" s="33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ht="15.75" customHeight="1">
      <c r="O727" s="33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ht="15.75" customHeight="1">
      <c r="O728" s="33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ht="15.75" customHeight="1">
      <c r="O729" s="33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ht="15.75" customHeight="1">
      <c r="O730" s="33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ht="15.75" customHeight="1">
      <c r="O731" s="33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ht="15.75" customHeight="1">
      <c r="O732" s="33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ht="15.75" customHeight="1">
      <c r="O733" s="33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ht="15.75" customHeight="1">
      <c r="O734" s="33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ht="15.75" customHeight="1">
      <c r="O735" s="33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ht="15.75" customHeight="1">
      <c r="O736" s="33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ht="15.75" customHeight="1">
      <c r="O737" s="33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ht="15.75" customHeight="1">
      <c r="O738" s="33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ht="15.75" customHeight="1">
      <c r="O739" s="33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ht="15.75" customHeight="1">
      <c r="O740" s="33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ht="15.75" customHeight="1">
      <c r="O741" s="33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ht="15.75" customHeight="1">
      <c r="O742" s="33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ht="15.75" customHeight="1">
      <c r="O743" s="33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ht="15.75" customHeight="1">
      <c r="O744" s="33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ht="15.75" customHeight="1">
      <c r="O745" s="33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ht="15.75" customHeight="1">
      <c r="O746" s="33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ht="15.75" customHeight="1">
      <c r="O747" s="33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ht="15.75" customHeight="1">
      <c r="O748" s="33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ht="15.75" customHeight="1">
      <c r="O749" s="33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ht="15.75" customHeight="1">
      <c r="O750" s="33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ht="15.75" customHeight="1">
      <c r="O751" s="33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ht="15.75" customHeight="1">
      <c r="O752" s="33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ht="15.75" customHeight="1">
      <c r="O753" s="33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ht="15.75" customHeight="1">
      <c r="O754" s="33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ht="15.75" customHeight="1">
      <c r="O755" s="33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ht="15.75" customHeight="1">
      <c r="O756" s="33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ht="15.75" customHeight="1">
      <c r="O757" s="33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ht="15.75" customHeight="1">
      <c r="O758" s="33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ht="15.75" customHeight="1">
      <c r="O759" s="33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ht="15.75" customHeight="1">
      <c r="O760" s="33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ht="15.75" customHeight="1">
      <c r="O761" s="33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ht="15.75" customHeight="1">
      <c r="O762" s="33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ht="15.75" customHeight="1">
      <c r="O763" s="33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ht="15.75" customHeight="1">
      <c r="O764" s="33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ht="15.75" customHeight="1">
      <c r="O765" s="33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ht="15.75" customHeight="1">
      <c r="O766" s="33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ht="15.75" customHeight="1">
      <c r="O767" s="33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ht="15.75" customHeight="1">
      <c r="O768" s="33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ht="15.75" customHeight="1">
      <c r="O769" s="33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ht="15.75" customHeight="1">
      <c r="O770" s="33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ht="15.75" customHeight="1">
      <c r="O771" s="33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ht="15.75" customHeight="1">
      <c r="O772" s="33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ht="15.75" customHeight="1">
      <c r="O773" s="33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ht="15.75" customHeight="1">
      <c r="O774" s="33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ht="15.75" customHeight="1">
      <c r="O775" s="33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ht="15.75" customHeight="1">
      <c r="O776" s="33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ht="15.75" customHeight="1">
      <c r="O777" s="33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ht="15.75" customHeight="1">
      <c r="O778" s="33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ht="15.75" customHeight="1">
      <c r="O779" s="33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ht="15.75" customHeight="1">
      <c r="O780" s="33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ht="15.75" customHeight="1">
      <c r="O781" s="33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ht="15.75" customHeight="1">
      <c r="O782" s="33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ht="15.75" customHeight="1">
      <c r="O783" s="33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ht="15.75" customHeight="1">
      <c r="O784" s="33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ht="15.75" customHeight="1">
      <c r="O785" s="33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ht="15.75" customHeight="1">
      <c r="O786" s="33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ht="15.75" customHeight="1">
      <c r="O787" s="33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ht="15.75" customHeight="1">
      <c r="O788" s="33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ht="15.75" customHeight="1">
      <c r="O789" s="33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ht="15.75" customHeight="1">
      <c r="O790" s="33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ht="15.75" customHeight="1">
      <c r="O791" s="33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ht="15.75" customHeight="1">
      <c r="O792" s="33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ht="15.75" customHeight="1">
      <c r="O793" s="33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ht="15.75" customHeight="1">
      <c r="O794" s="33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ht="15.75" customHeight="1">
      <c r="O795" s="33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ht="15.75" customHeight="1">
      <c r="O796" s="33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ht="15.75" customHeight="1">
      <c r="O797" s="33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ht="15.75" customHeight="1">
      <c r="O798" s="33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ht="15.75" customHeight="1">
      <c r="O799" s="33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ht="15.75" customHeight="1">
      <c r="O800" s="33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ht="15.75" customHeight="1">
      <c r="O801" s="33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ht="15.75" customHeight="1">
      <c r="O802" s="33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ht="15.75" customHeight="1">
      <c r="O803" s="33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ht="15.75" customHeight="1">
      <c r="O804" s="33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ht="15.75" customHeight="1">
      <c r="O805" s="33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ht="15.75" customHeight="1">
      <c r="O806" s="33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ht="15.75" customHeight="1">
      <c r="O807" s="33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ht="15.75" customHeight="1">
      <c r="O808" s="33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ht="15.75" customHeight="1">
      <c r="O809" s="33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ht="15.75" customHeight="1">
      <c r="O810" s="33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ht="15.75" customHeight="1">
      <c r="O811" s="33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ht="15.75" customHeight="1">
      <c r="O812" s="33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ht="15.75" customHeight="1">
      <c r="O813" s="33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ht="15.75" customHeight="1">
      <c r="O814" s="33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ht="15.75" customHeight="1">
      <c r="O815" s="33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ht="15.75" customHeight="1">
      <c r="O816" s="33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ht="15.75" customHeight="1">
      <c r="O817" s="33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ht="15.75" customHeight="1">
      <c r="O818" s="33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ht="15.75" customHeight="1">
      <c r="O819" s="33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ht="15.75" customHeight="1">
      <c r="O820" s="33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ht="15.75" customHeight="1">
      <c r="O821" s="33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ht="15.75" customHeight="1">
      <c r="O822" s="33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ht="15.75" customHeight="1">
      <c r="O823" s="33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ht="15.75" customHeight="1">
      <c r="O824" s="33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ht="15.75" customHeight="1">
      <c r="O825" s="33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ht="15.75" customHeight="1">
      <c r="O826" s="33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ht="15.75" customHeight="1">
      <c r="O827" s="33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ht="15.75" customHeight="1">
      <c r="O828" s="33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ht="15.75" customHeight="1">
      <c r="O829" s="33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ht="15.75" customHeight="1">
      <c r="O830" s="33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ht="15.75" customHeight="1">
      <c r="O831" s="33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ht="15.75" customHeight="1">
      <c r="O832" s="33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ht="15.75" customHeight="1">
      <c r="O833" s="33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ht="15.75" customHeight="1">
      <c r="O834" s="33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ht="15.75" customHeight="1">
      <c r="O835" s="33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ht="15.75" customHeight="1">
      <c r="O836" s="33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ht="15.75" customHeight="1">
      <c r="O837" s="33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ht="15.75" customHeight="1">
      <c r="O838" s="33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ht="15.75" customHeight="1">
      <c r="O839" s="33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ht="15.75" customHeight="1">
      <c r="O840" s="33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ht="15.75" customHeight="1">
      <c r="O841" s="33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ht="15.75" customHeight="1">
      <c r="O842" s="33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ht="15.75" customHeight="1">
      <c r="O843" s="33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ht="15.75" customHeight="1">
      <c r="O844" s="33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ht="15.75" customHeight="1">
      <c r="O845" s="33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ht="15.75" customHeight="1">
      <c r="O846" s="33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ht="15.75" customHeight="1">
      <c r="O847" s="33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ht="15.75" customHeight="1">
      <c r="O848" s="33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ht="15.75" customHeight="1">
      <c r="O849" s="33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ht="15.75" customHeight="1">
      <c r="O850" s="33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ht="15.75" customHeight="1">
      <c r="O851" s="33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ht="15.75" customHeight="1">
      <c r="O852" s="33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ht="15.75" customHeight="1">
      <c r="O853" s="33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ht="15.75" customHeight="1">
      <c r="O854" s="33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ht="15.75" customHeight="1">
      <c r="O855" s="33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ht="15.75" customHeight="1">
      <c r="O856" s="33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ht="15.75" customHeight="1">
      <c r="O857" s="33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ht="15.75" customHeight="1">
      <c r="O858" s="33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ht="15.75" customHeight="1">
      <c r="O859" s="33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ht="15.75" customHeight="1">
      <c r="O860" s="33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ht="15.75" customHeight="1">
      <c r="O861" s="33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ht="15.75" customHeight="1">
      <c r="O862" s="33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ht="15.75" customHeight="1">
      <c r="O863" s="33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ht="15.75" customHeight="1">
      <c r="O864" s="33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ht="15.75" customHeight="1">
      <c r="O865" s="33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ht="15.75" customHeight="1">
      <c r="O866" s="33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ht="15.75" customHeight="1">
      <c r="O867" s="33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ht="15.75" customHeight="1">
      <c r="O868" s="33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ht="15.75" customHeight="1">
      <c r="O869" s="33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ht="15.75" customHeight="1">
      <c r="O870" s="33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ht="15.75" customHeight="1">
      <c r="O871" s="33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ht="15.75" customHeight="1">
      <c r="O872" s="33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ht="15.75" customHeight="1">
      <c r="O873" s="33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ht="15.75" customHeight="1">
      <c r="O874" s="33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ht="15.75" customHeight="1">
      <c r="O875" s="33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ht="15.75" customHeight="1">
      <c r="O876" s="33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ht="15.75" customHeight="1">
      <c r="O877" s="33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ht="15.75" customHeight="1">
      <c r="O878" s="33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ht="15.75" customHeight="1">
      <c r="O879" s="33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ht="15.75" customHeight="1">
      <c r="O880" s="33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ht="15.75" customHeight="1">
      <c r="O881" s="33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ht="15.75" customHeight="1">
      <c r="O882" s="33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ht="15.75" customHeight="1">
      <c r="O883" s="33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ht="15.75" customHeight="1">
      <c r="O884" s="33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ht="15.75" customHeight="1">
      <c r="O885" s="33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ht="15.75" customHeight="1">
      <c r="O886" s="33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ht="15.75" customHeight="1">
      <c r="O887" s="33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ht="15.75" customHeight="1">
      <c r="O888" s="33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ht="15.75" customHeight="1">
      <c r="O889" s="33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ht="15.75" customHeight="1">
      <c r="O890" s="33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ht="15.75" customHeight="1">
      <c r="O891" s="33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ht="15.75" customHeight="1">
      <c r="O892" s="33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ht="15.75" customHeight="1">
      <c r="O893" s="33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ht="15.75" customHeight="1">
      <c r="O894" s="33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ht="15.75" customHeight="1">
      <c r="O895" s="33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ht="15.75" customHeight="1">
      <c r="O896" s="33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ht="15.75" customHeight="1">
      <c r="O897" s="33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ht="15.75" customHeight="1">
      <c r="O898" s="33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ht="15.75" customHeight="1">
      <c r="O899" s="33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ht="15.75" customHeight="1">
      <c r="O900" s="33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ht="15.75" customHeight="1">
      <c r="O901" s="33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ht="15.75" customHeight="1">
      <c r="O902" s="33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ht="15.75" customHeight="1">
      <c r="O903" s="33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ht="15.75" customHeight="1">
      <c r="O904" s="33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ht="15.75" customHeight="1">
      <c r="O905" s="33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ht="15.75" customHeight="1">
      <c r="O906" s="33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ht="15.75" customHeight="1">
      <c r="O907" s="33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ht="15.75" customHeight="1">
      <c r="O908" s="33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ht="15.75" customHeight="1">
      <c r="O909" s="33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ht="15.75" customHeight="1">
      <c r="O910" s="33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ht="15.75" customHeight="1">
      <c r="O911" s="33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ht="15.75" customHeight="1">
      <c r="O912" s="33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ht="15.75" customHeight="1">
      <c r="O913" s="33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ht="15.75" customHeight="1">
      <c r="O914" s="33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ht="15.75" customHeight="1">
      <c r="O915" s="33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ht="15.75" customHeight="1">
      <c r="O916" s="33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ht="15.75" customHeight="1">
      <c r="O917" s="33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ht="15.75" customHeight="1">
      <c r="O918" s="33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ht="15.75" customHeight="1">
      <c r="O919" s="33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ht="15.75" customHeight="1">
      <c r="O920" s="33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ht="15.75" customHeight="1">
      <c r="O921" s="33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ht="15.75" customHeight="1">
      <c r="O922" s="33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ht="15.75" customHeight="1">
      <c r="O923" s="33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ht="15.75" customHeight="1">
      <c r="O924" s="33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ht="15.75" customHeight="1">
      <c r="O925" s="33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ht="15.75" customHeight="1">
      <c r="O926" s="33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ht="15.75" customHeight="1">
      <c r="O927" s="33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ht="15.75" customHeight="1">
      <c r="O928" s="33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ht="15.75" customHeight="1">
      <c r="O929" s="33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ht="15.75" customHeight="1">
      <c r="O930" s="33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ht="15.75" customHeight="1">
      <c r="O931" s="33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ht="15.75" customHeight="1">
      <c r="O932" s="33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ht="15.75" customHeight="1">
      <c r="O933" s="33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ht="15.75" customHeight="1">
      <c r="O934" s="33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ht="15.75" customHeight="1">
      <c r="O935" s="33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ht="15.75" customHeight="1">
      <c r="O936" s="33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ht="15.75" customHeight="1">
      <c r="O937" s="33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ht="15.75" customHeight="1">
      <c r="O938" s="33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ht="15.75" customHeight="1">
      <c r="O939" s="33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ht="15.75" customHeight="1">
      <c r="O940" s="33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ht="15.75" customHeight="1">
      <c r="O941" s="33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ht="15.75" customHeight="1">
      <c r="O942" s="33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ht="15.75" customHeight="1">
      <c r="O943" s="33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ht="15.75" customHeight="1">
      <c r="O944" s="33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ht="15.75" customHeight="1">
      <c r="O945" s="33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ht="15.75" customHeight="1">
      <c r="O946" s="33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ht="15.75" customHeight="1">
      <c r="O947" s="33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ht="15.75" customHeight="1">
      <c r="O948" s="33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ht="15.75" customHeight="1">
      <c r="O949" s="33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ht="15.75" customHeight="1">
      <c r="O950" s="33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ht="15.75" customHeight="1">
      <c r="O951" s="33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ht="15.75" customHeight="1">
      <c r="O952" s="33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ht="15.75" customHeight="1">
      <c r="O953" s="33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ht="15.75" customHeight="1">
      <c r="O954" s="33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ht="15.75" customHeight="1">
      <c r="O955" s="33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ht="15.75" customHeight="1">
      <c r="O956" s="33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ht="15.75" customHeight="1">
      <c r="O957" s="33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ht="15.75" customHeight="1">
      <c r="O958" s="33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ht="15.75" customHeight="1">
      <c r="O959" s="33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ht="15.75" customHeight="1">
      <c r="O960" s="33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ht="15.75" customHeight="1">
      <c r="O961" s="33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ht="15.75" customHeight="1">
      <c r="O962" s="33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ht="15.75" customHeight="1">
      <c r="O963" s="33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ht="15.75" customHeight="1">
      <c r="O964" s="33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ht="15.75" customHeight="1">
      <c r="O965" s="33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ht="15.75" customHeight="1">
      <c r="O966" s="33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ht="15.75" customHeight="1">
      <c r="O967" s="33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ht="15.75" customHeight="1">
      <c r="O968" s="33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ht="15.75" customHeight="1">
      <c r="O969" s="33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ht="15.75" customHeight="1">
      <c r="O970" s="33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ht="15.75" customHeight="1">
      <c r="O971" s="33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ht="15.75" customHeight="1">
      <c r="O972" s="33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ht="15.75" customHeight="1">
      <c r="O973" s="33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ht="15.75" customHeight="1">
      <c r="O974" s="33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ht="15.75" customHeight="1">
      <c r="O975" s="33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ht="15.75" customHeight="1">
      <c r="O976" s="33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ht="15.75" customHeight="1">
      <c r="O977" s="33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ht="15.75" customHeight="1">
      <c r="O978" s="33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ht="15.75" customHeight="1">
      <c r="O979" s="33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ht="15.75" customHeight="1">
      <c r="O980" s="33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ht="15.75" customHeight="1">
      <c r="O981" s="33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ht="15.75" customHeight="1">
      <c r="O982" s="33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ht="15.75" customHeight="1">
      <c r="O983" s="33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ht="15.75" customHeight="1">
      <c r="O984" s="33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ht="15.75" customHeight="1">
      <c r="O985" s="33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ht="15.75" customHeight="1">
      <c r="O986" s="33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ht="15.75" customHeight="1">
      <c r="O987" s="33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ht="15.75" customHeight="1">
      <c r="O988" s="33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ht="15.75" customHeight="1">
      <c r="O989" s="33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ht="15.75" customHeight="1">
      <c r="O990" s="33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ht="15.75" customHeight="1">
      <c r="O991" s="33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</sheetData>
  <autoFilter ref="$E$1:$T$313"/>
  <dataValidations>
    <dataValidation type="list" allowBlank="1" showErrorMessage="1" sqref="Q2:Q74">
      <formula1>'Datos del plan'!$B$1:$B$5</formula1>
    </dataValidation>
    <dataValidation type="list" allowBlank="1" showErrorMessage="1" sqref="P2:P74">
      <formula1>Datos!$B$1:$B$3</formula1>
    </dataValidation>
    <dataValidation type="list" allowBlank="1" showErrorMessage="1" sqref="R2:R74">
      <formula1>'Datos del plan'!$D$1:$D$2</formula1>
    </dataValidation>
    <dataValidation type="list" allowBlank="1" showErrorMessage="1" sqref="I2:I74">
      <formula1>'Datos del plan'!$A$1:$A$8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min="5" max="5" width="3.71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8"/>
      <c r="C2" s="38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8"/>
      <c r="C3" s="38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8"/>
      <c r="C4" s="38"/>
      <c r="D4" s="3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38"/>
      <c r="E5" s="38"/>
      <c r="F5" s="38"/>
      <c r="G5" s="1"/>
      <c r="H5" s="1"/>
      <c r="I5" s="1"/>
      <c r="J5" s="1"/>
      <c r="K5" s="1"/>
      <c r="L5" s="1"/>
      <c r="M5" s="1"/>
      <c r="N5" s="1"/>
      <c r="O5" s="1"/>
      <c r="P5" s="39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0" t="s">
        <v>169</v>
      </c>
      <c r="C6" s="41" t="s">
        <v>26</v>
      </c>
      <c r="D6" s="42">
        <f>COUNTIF('Plan de prueba'!Q2:Q323,Control!C6)</f>
        <v>18</v>
      </c>
      <c r="E6" s="35"/>
      <c r="F6" s="35"/>
      <c r="G6" s="1"/>
      <c r="H6" s="1"/>
      <c r="I6" s="1"/>
      <c r="J6" s="1"/>
      <c r="K6" s="1"/>
      <c r="L6" s="1"/>
      <c r="M6" s="1"/>
      <c r="N6" s="1"/>
      <c r="O6" s="1"/>
      <c r="P6" s="39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3"/>
      <c r="C7" s="41" t="s">
        <v>51</v>
      </c>
      <c r="D7" s="42">
        <f>COUNTIF('Plan de prueba'!Q2:Q323,Control!C7)</f>
        <v>2</v>
      </c>
      <c r="E7" s="35"/>
      <c r="F7" s="3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3"/>
      <c r="C8" s="41" t="s">
        <v>170</v>
      </c>
      <c r="D8" s="42">
        <f>COUNTIF('Plan de prueba'!Q2:Q323,C8)</f>
        <v>0</v>
      </c>
      <c r="E8" s="35"/>
      <c r="F8" s="3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43"/>
      <c r="C9" s="41" t="s">
        <v>171</v>
      </c>
      <c r="D9" s="42">
        <f>COUNTIF('Plan de prueba'!Q2:Q323,C9)</f>
        <v>0</v>
      </c>
      <c r="E9" s="35"/>
      <c r="F9" s="35"/>
      <c r="G9" s="1"/>
      <c r="H9" s="1"/>
      <c r="I9" s="1"/>
      <c r="J9" s="1"/>
      <c r="K9" s="1"/>
      <c r="L9" s="1"/>
      <c r="M9" s="1"/>
      <c r="N9" s="1"/>
      <c r="O9" s="3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44"/>
      <c r="C10" s="41" t="s">
        <v>172</v>
      </c>
      <c r="D10" s="42">
        <f>COUNTIF('Plan de prueba'!Q2:Q323,C10)</f>
        <v>0</v>
      </c>
      <c r="E10" s="35"/>
      <c r="F10" s="3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45"/>
      <c r="C11" s="45"/>
      <c r="D11" s="3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46"/>
      <c r="C12" s="47"/>
      <c r="D12" s="4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49" t="s">
        <v>173</v>
      </c>
      <c r="C13" s="50"/>
      <c r="D13" s="51">
        <f>F23</f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2" t="s">
        <v>174</v>
      </c>
      <c r="C14" s="53"/>
      <c r="D14" s="54">
        <f>SUM(D6+D7+D9+D10)/D13</f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55"/>
      <c r="C15" s="56"/>
      <c r="D15" s="4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7" t="s">
        <v>175</v>
      </c>
      <c r="C18" s="58"/>
      <c r="D18" s="59" t="s">
        <v>28</v>
      </c>
      <c r="E18" s="50"/>
      <c r="F18" s="51">
        <f>COUNTIF('Plan de prueba'!$S$2:$S$74,D18)</f>
        <v>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0"/>
      <c r="C19" s="11"/>
      <c r="D19" s="59" t="s">
        <v>82</v>
      </c>
      <c r="E19" s="50"/>
      <c r="F19" s="51">
        <f>COUNTIF('Plan de prueba'!$S$2:$S$74,D19)</f>
        <v>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0"/>
      <c r="C20" s="11"/>
      <c r="D20" s="59" t="s">
        <v>134</v>
      </c>
      <c r="E20" s="50"/>
      <c r="F20" s="51">
        <f>COUNTIF('Plan de prueba'!$S$2:$S$74,D20)</f>
        <v>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5"/>
      <c r="C21" s="61"/>
      <c r="D21" s="59"/>
      <c r="E21" s="50"/>
      <c r="F21" s="6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63" t="s">
        <v>176</v>
      </c>
      <c r="E23" s="64"/>
      <c r="F23" s="65">
        <f>SUM(F18:F21)</f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6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67" t="s">
        <v>18</v>
      </c>
      <c r="B1" s="67" t="s">
        <v>25</v>
      </c>
    </row>
    <row r="2">
      <c r="A2" s="67" t="s">
        <v>37</v>
      </c>
      <c r="B2" s="67" t="s">
        <v>177</v>
      </c>
    </row>
    <row r="3">
      <c r="A3" s="67" t="s">
        <v>178</v>
      </c>
      <c r="B3" s="67" t="s">
        <v>179</v>
      </c>
    </row>
    <row r="9">
      <c r="F9" s="67"/>
      <c r="H9" s="67"/>
    </row>
    <row r="10">
      <c r="F10" s="67"/>
      <c r="H10" s="67"/>
    </row>
    <row r="11">
      <c r="F11" s="67"/>
      <c r="H11" s="67"/>
    </row>
    <row r="12">
      <c r="F12" s="67"/>
      <c r="H12" s="67"/>
    </row>
    <row r="13">
      <c r="F13" s="6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67" t="s">
        <v>18</v>
      </c>
      <c r="B1" s="67" t="s">
        <v>26</v>
      </c>
      <c r="C1" s="67" t="s">
        <v>180</v>
      </c>
      <c r="D1" s="67" t="s">
        <v>181</v>
      </c>
    </row>
    <row r="2" ht="14.25" customHeight="1">
      <c r="A2" s="67" t="s">
        <v>37</v>
      </c>
      <c r="B2" s="67" t="s">
        <v>51</v>
      </c>
      <c r="C2" s="67" t="s">
        <v>182</v>
      </c>
      <c r="D2" s="67" t="s">
        <v>27</v>
      </c>
    </row>
    <row r="3" ht="14.25" customHeight="1">
      <c r="A3" s="67" t="s">
        <v>44</v>
      </c>
      <c r="B3" s="67" t="s">
        <v>170</v>
      </c>
      <c r="C3" s="67" t="s">
        <v>183</v>
      </c>
    </row>
    <row r="4" ht="14.25" customHeight="1">
      <c r="A4" s="67" t="s">
        <v>184</v>
      </c>
      <c r="B4" s="67" t="s">
        <v>171</v>
      </c>
    </row>
    <row r="5" ht="14.25" customHeight="1">
      <c r="A5" s="67" t="s">
        <v>92</v>
      </c>
      <c r="B5" s="67" t="s">
        <v>172</v>
      </c>
    </row>
    <row r="6" ht="14.25" customHeight="1">
      <c r="A6" s="67" t="s">
        <v>185</v>
      </c>
    </row>
    <row r="7" ht="14.25" customHeight="1">
      <c r="A7" s="67" t="s">
        <v>186</v>
      </c>
    </row>
    <row r="8" ht="14.25" customHeight="1">
      <c r="A8" s="67" t="s">
        <v>187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